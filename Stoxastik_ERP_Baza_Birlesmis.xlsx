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Oxu" sheetId="1" state="visible" r:id="rId3"/>
    <sheet name="0_Luqet" sheetId="2" state="visible" r:id="rId4"/>
    <sheet name="1_Mallar" sheetId="3" state="visible" r:id="rId5"/>
    <sheet name="2_BOM" sheetId="4" state="visible" r:id="rId6"/>
    <sheet name="3_Rota" sheetId="5" state="visible" r:id="rId7"/>
    <sheet name="4_Hareket" sheetId="6" state="visible" r:id="rId8"/>
    <sheet name="5_Saldo" sheetId="7" state="visible" r:id="rId9"/>
    <sheet name="6_Sayim" sheetId="8" state="visible" r:id="rId10"/>
    <sheet name="7_Fakt" sheetId="9" state="visible" r:id="rId11"/>
    <sheet name="8_Xulase" sheetId="10" state="visible" r:id="rId12"/>
    <sheet name="9_Blanklar" sheetId="11" state="visible" r:id="rId13"/>
  </sheets>
  <definedNames>
    <definedName function="false" hidden="true" localSheetId="2" name="_xlnm._FilterDatabase" vbProcedure="false">1_Mallar!$A$4:$J$47</definedName>
    <definedName function="false" hidden="true" localSheetId="3" name="_xlnm._FilterDatabase" vbProcedure="false">2_BOM!$A$3:$L$29</definedName>
    <definedName function="false" hidden="true" localSheetId="4" name="_xlnm._FilterDatabase" vbProcedure="false">3_Rota!$A$3:$J$13</definedName>
    <definedName function="false" hidden="true" localSheetId="5" name="_xlnm._FilterDatabase" vbProcedure="false">4_Hareket!$A$4:$O$30</definedName>
    <definedName function="false" hidden="true" localSheetId="6" name="_xlnm._FilterDatabase" vbProcedure="false">5_Saldo!$A$4:$K$23</definedName>
    <definedName function="false" hidden="true" localSheetId="8" name="_xlnm._FilterDatabase" vbProcedure="false">7_Fakt!$A$3:$O$21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<sst xmlns="http://schemas.openxmlformats.org/spreadsheetml/2006/main" count="1174" uniqueCount="447">
  <si>
    <t xml:space="preserve">STOXASTİK ERP — Azərbaycan dilində · kod: SINIF.QRUP.KAT.SIRA</t>
  </si>
  <si>
    <t xml:space="preserve">XM=Xammal · YF=Yarımfabrikat · HM=Hazır məhsul · SM=Sərf materialı · QB=Qablaşdırma · GD=Geridönüşüm</t>
  </si>
  <si>
    <t xml:space="preserve">Nümunə: HM.NSO.01.001 (hazır nasos stansiyası) · YF.CRK.01.200 (çərçivə YF) · XM.PLD.01.005 (polad lövhə)</t>
  </si>
  <si>
    <t xml:space="preserve">VƏRƏQLƏR</t>
  </si>
  <si>
    <t xml:space="preserve">1_Mallar</t>
  </si>
  <si>
    <t xml:space="preserve">Mal kartotekası — kod, ad, sinif, qrup, vahid, BOM-da?</t>
  </si>
  <si>
    <t xml:space="preserve">2_BOM</t>
  </si>
  <si>
    <t xml:space="preserve">Reseptura / ürün ağacı</t>
  </si>
  <si>
    <t xml:space="preserve">3_Rota</t>
  </si>
  <si>
    <t xml:space="preserve">Texnoloji yol / norma</t>
  </si>
  <si>
    <t xml:space="preserve">4_Hareket</t>
  </si>
  <si>
    <t xml:space="preserve">Anbar muavini — bütün giriş-çıxış</t>
  </si>
  <si>
    <t xml:space="preserve">5_Saldo</t>
  </si>
  <si>
    <t xml:space="preserve">Anbar qalığı / ATP</t>
  </si>
  <si>
    <t xml:space="preserve">6_Sayim</t>
  </si>
  <si>
    <t xml:space="preserve">İnventarizasiya fərqləri + yeni mal</t>
  </si>
  <si>
    <t xml:space="preserve">7_Fakt</t>
  </si>
  <si>
    <t xml:space="preserve">İstehsal plan-fakt</t>
  </si>
  <si>
    <t xml:space="preserve">8_Xulase</t>
  </si>
  <si>
    <t xml:space="preserve">Avtomatik yekunlar</t>
  </si>
  <si>
    <t xml:space="preserve">9_Blanklar</t>
  </si>
  <si>
    <t xml:space="preserve">İmzalı blanklar (başlıqlar = köçürmə sütunları)</t>
  </si>
  <si>
    <t xml:space="preserve">0_Luqet</t>
  </si>
  <si>
    <t xml:space="preserve">Sahə izahları</t>
  </si>
  <si>
    <t xml:space="preserve">Axın: 9_Blanklar / 6_Sayim → 1_Mallar + 4_Hareket + 5_Saldo + 7_Fakt · 8_Xulase yalnız oxuyur</t>
  </si>
  <si>
    <t xml:space="preserve">Sərbəst = yeni iş əmrinə / tələbnaməyə verilə bilən qalıq. Rezerv və blok verilmir. Serbest_kifayet = Kifayət və ya Çatışmır.</t>
  </si>
  <si>
    <t xml:space="preserve">LÜĞƏT — bütün sahələr Azərbaycan dilində (planlamacı olmayan da anlaya bilər)</t>
  </si>
  <si>
    <t xml:space="preserve">İngiliscə qısaltmalar faylda işlənmir; əvvəlki ATP = indi «Sərbəst veriliş qalığı / Serbest_kifayet»</t>
  </si>
  <si>
    <t xml:space="preserve">Sahə</t>
  </si>
  <si>
    <t xml:space="preserve">Azərbaycanca</t>
  </si>
  <si>
    <t xml:space="preserve">Qısa izah</t>
  </si>
  <si>
    <t xml:space="preserve">Vərəq</t>
  </si>
  <si>
    <t xml:space="preserve">Əvvəlki/qeyd</t>
  </si>
  <si>
    <t xml:space="preserve">Mal_Kodu</t>
  </si>
  <si>
    <t xml:space="preserve">Mal kodu</t>
  </si>
  <si>
    <t xml:space="preserve">SINIF.QRUP.KAT.SIRA — unikal kod</t>
  </si>
  <si>
    <t xml:space="preserve">Mal_Adi</t>
  </si>
  <si>
    <t xml:space="preserve">Malın adı</t>
  </si>
  <si>
    <t xml:space="preserve">Uzun, anlaşılan ad</t>
  </si>
  <si>
    <t xml:space="preserve">Sinif</t>
  </si>
  <si>
    <t xml:space="preserve">XM/YF/HM/SM/QB/GD — siyahıdan</t>
  </si>
  <si>
    <t xml:space="preserve">Qrup</t>
  </si>
  <si>
    <t xml:space="preserve">PLD, CRK, NSO… — siyahıdan</t>
  </si>
  <si>
    <t xml:space="preserve">Vahid</t>
  </si>
  <si>
    <t xml:space="preserve">Ölçü vahidi</t>
  </si>
  <si>
    <t xml:space="preserve">kg, əd, m, l, dəst</t>
  </si>
  <si>
    <t xml:space="preserve">UoM</t>
  </si>
  <si>
    <t xml:space="preserve">Min_stok</t>
  </si>
  <si>
    <t xml:space="preserve">Minimum stok</t>
  </si>
  <si>
    <t xml:space="preserve">Bundan az olmamalı</t>
  </si>
  <si>
    <t xml:space="preserve">1_Mallar/5_Saldo</t>
  </si>
  <si>
    <t xml:space="preserve">BOM_da</t>
  </si>
  <si>
    <t xml:space="preserve">Resepturada varmı</t>
  </si>
  <si>
    <t xml:space="preserve">Bəli = BOM-da; Xeyr = yalnız anbar/sərf</t>
  </si>
  <si>
    <t xml:space="preserve">Mesul</t>
  </si>
  <si>
    <t xml:space="preserve">Məsul şəxs/rol</t>
  </si>
  <si>
    <t xml:space="preserve">Kim cavabdehdir — siyahıdan</t>
  </si>
  <si>
    <t xml:space="preserve">bir çox</t>
  </si>
  <si>
    <t xml:space="preserve">Aktiv</t>
  </si>
  <si>
    <t xml:space="preserve">Aktivdir</t>
  </si>
  <si>
    <t xml:space="preserve">Bəli/Xeyr — siyahıdan</t>
  </si>
  <si>
    <t xml:space="preserve">Kok_Kod</t>
  </si>
  <si>
    <t xml:space="preserve">Ağacın kök kodu</t>
  </si>
  <si>
    <t xml:space="preserve">Filter üçün hazır məhsul/kök</t>
  </si>
  <si>
    <t xml:space="preserve">Yol</t>
  </si>
  <si>
    <t xml:space="preserve">Ağac yolu</t>
  </si>
  <si>
    <t xml:space="preserve">Kök&gt;YF&gt;… zənciri</t>
  </si>
  <si>
    <t xml:space="preserve">Parent</t>
  </si>
  <si>
    <t xml:space="preserve">Hazırlanan mal</t>
  </si>
  <si>
    <t xml:space="preserve">Bu sətirdə nə istehsal olunur</t>
  </si>
  <si>
    <t xml:space="preserve">Component</t>
  </si>
  <si>
    <t xml:space="preserve">Sərf olunan mal</t>
  </si>
  <si>
    <t xml:space="preserve">Nədən hazırlanır</t>
  </si>
  <si>
    <t xml:space="preserve">Seviyye</t>
  </si>
  <si>
    <t xml:space="preserve">Səviyyə</t>
  </si>
  <si>
    <t xml:space="preserve">0…5 dərinlik</t>
  </si>
  <si>
    <t xml:space="preserve">Miqdar</t>
  </si>
  <si>
    <t xml:space="preserve">Norma və ya hərəkət sayı</t>
  </si>
  <si>
    <t xml:space="preserve">BOM/Hareket</t>
  </si>
  <si>
    <t xml:space="preserve">Qty</t>
  </si>
  <si>
    <t xml:space="preserve">Qirinti_faiz</t>
  </si>
  <si>
    <t xml:space="preserve">Qırıntı faizi</t>
  </si>
  <si>
    <t xml:space="preserve">Texnoloji itki %</t>
  </si>
  <si>
    <t xml:space="preserve">Scrap %</t>
  </si>
  <si>
    <t xml:space="preserve">Serf_tipi</t>
  </si>
  <si>
    <t xml:space="preserve">Sərf tipi</t>
  </si>
  <si>
    <t xml:space="preserve">+Xammal / +YF / −Geridönüşüm</t>
  </si>
  <si>
    <t xml:space="preserve">Mehsul_Kodu</t>
  </si>
  <si>
    <t xml:space="preserve">Məhsul kodu</t>
  </si>
  <si>
    <t xml:space="preserve">İstehsal olunan kod</t>
  </si>
  <si>
    <t xml:space="preserve">3_Rota/7_Fakt</t>
  </si>
  <si>
    <t xml:space="preserve">Xett</t>
  </si>
  <si>
    <t xml:space="preserve">İstehsal xətti</t>
  </si>
  <si>
    <t xml:space="preserve">Sex xətti</t>
  </si>
  <si>
    <t xml:space="preserve">Emeliyyat_Kodu</t>
  </si>
  <si>
    <t xml:space="preserve">Əməliyyat kodu</t>
  </si>
  <si>
    <t xml:space="preserve">Texnoloji addım</t>
  </si>
  <si>
    <t xml:space="preserve">Op</t>
  </si>
  <si>
    <t xml:space="preserve">Emeliyyat_Adi</t>
  </si>
  <si>
    <t xml:space="preserve">Əməliyyat adı</t>
  </si>
  <si>
    <t xml:space="preserve">Addımın adı</t>
  </si>
  <si>
    <t xml:space="preserve">Is_merkezi</t>
  </si>
  <si>
    <t xml:space="preserve">İş mərkəzi</t>
  </si>
  <si>
    <t xml:space="preserve">Dəzgah / post</t>
  </si>
  <si>
    <t xml:space="preserve">WC</t>
  </si>
  <si>
    <t xml:space="preserve">Norm_saat</t>
  </si>
  <si>
    <t xml:space="preserve">Norma saat</t>
  </si>
  <si>
    <t xml:space="preserve">1 ədəd üçün saat</t>
  </si>
  <si>
    <t xml:space="preserve">Norm_isci</t>
  </si>
  <si>
    <t xml:space="preserve">Norma işçi sayı</t>
  </si>
  <si>
    <t xml:space="preserve">Briqada sayı</t>
  </si>
  <si>
    <t xml:space="preserve">Hereket_Kodu</t>
  </si>
  <si>
    <t xml:space="preserve">Hərəkət kodu</t>
  </si>
  <si>
    <t xml:space="preserve">GIRIS_ALIS, CIXIS_IST, SAYIM_…</t>
  </si>
  <si>
    <t xml:space="preserve">Move type</t>
  </si>
  <si>
    <t xml:space="preserve">Is_emri</t>
  </si>
  <si>
    <t xml:space="preserve">İş əmri</t>
  </si>
  <si>
    <t xml:space="preserve">İstehsal iş əmri nömrəsi</t>
  </si>
  <si>
    <t xml:space="preserve">4/7</t>
  </si>
  <si>
    <t xml:space="preserve">WO</t>
  </si>
  <si>
    <t xml:space="preserve">Sened_No</t>
  </si>
  <si>
    <t xml:space="preserve">Sənəd nömrəsi</t>
  </si>
  <si>
    <t xml:space="preserve">Qaimə / tələbnamə №</t>
  </si>
  <si>
    <t xml:space="preserve">Sayim_No</t>
  </si>
  <si>
    <t xml:space="preserve">Sayım nömrəsi</t>
  </si>
  <si>
    <t xml:space="preserve">İnventarizasiya aktı №</t>
  </si>
  <si>
    <t xml:space="preserve">4/6</t>
  </si>
  <si>
    <t xml:space="preserve">Menbe</t>
  </si>
  <si>
    <t xml:space="preserve">Mənbə</t>
  </si>
  <si>
    <t xml:space="preserve">Məlumat hansı blankdan gəlib</t>
  </si>
  <si>
    <t xml:space="preserve">Status</t>
  </si>
  <si>
    <t xml:space="preserve">SERBEST, BLOK_ZAY… və ya rəng statusu</t>
  </si>
  <si>
    <t xml:space="preserve">Serbest</t>
  </si>
  <si>
    <t xml:space="preserve">Sərbəst qalıq</t>
  </si>
  <si>
    <t xml:space="preserve">Yeni iş əmrinə / tələbnaməyə verilə bilən</t>
  </si>
  <si>
    <t xml:space="preserve">ATP qty</t>
  </si>
  <si>
    <t xml:space="preserve">Rezerv</t>
  </si>
  <si>
    <t xml:space="preserve">Rezerv qalıq</t>
  </si>
  <si>
    <t xml:space="preserve">Başqa iş əmri üçün tutulub — verilmir</t>
  </si>
  <si>
    <t xml:space="preserve">Blok_Zay</t>
  </si>
  <si>
    <t xml:space="preserve">Zay blok</t>
  </si>
  <si>
    <t xml:space="preserve">Yararsız — tələbnaməyə düşmür</t>
  </si>
  <si>
    <t xml:space="preserve">Blok_QC</t>
  </si>
  <si>
    <t xml:space="preserve">QC blok</t>
  </si>
  <si>
    <t xml:space="preserve">Giriş yoxlaması bitməyib</t>
  </si>
  <si>
    <t xml:space="preserve">Cem</t>
  </si>
  <si>
    <t xml:space="preserve">Cəm qalıq</t>
  </si>
  <si>
    <t xml:space="preserve">Sərbəst+Rezerv+Bloklar</t>
  </si>
  <si>
    <t xml:space="preserve">Serbest_kifayet</t>
  </si>
  <si>
    <t xml:space="preserve">Sərbəst kifayətdirmi</t>
  </si>
  <si>
    <t xml:space="preserve">Kifayət / Çatışmır (Min_stok ilə müqayisə)</t>
  </si>
  <si>
    <t xml:space="preserve">5_Saldo/8</t>
  </si>
  <si>
    <t xml:space="preserve">ATP_ok</t>
  </si>
  <si>
    <t xml:space="preserve">Sistem_qaliq</t>
  </si>
  <si>
    <t xml:space="preserve">Sistem qalığı</t>
  </si>
  <si>
    <t xml:space="preserve">Sayım öncəsi sərbəst</t>
  </si>
  <si>
    <t xml:space="preserve">Sayilan</t>
  </si>
  <si>
    <t xml:space="preserve">Sayılan</t>
  </si>
  <si>
    <t xml:space="preserve">Fiziki sayım nəticəsi</t>
  </si>
  <si>
    <t xml:space="preserve">Ferq</t>
  </si>
  <si>
    <t xml:space="preserve">Fərq</t>
  </si>
  <si>
    <t xml:space="preserve">Sayılan − Sistem</t>
  </si>
  <si>
    <t xml:space="preserve">Ferq_tip</t>
  </si>
  <si>
    <t xml:space="preserve">Fərq tipi</t>
  </si>
  <si>
    <t xml:space="preserve">ARTIQ / EKSIK / SIFIR</t>
  </si>
  <si>
    <t xml:space="preserve">Yeni_mal</t>
  </si>
  <si>
    <t xml:space="preserve">Yeni maldır</t>
  </si>
  <si>
    <t xml:space="preserve">Bəli = 1_Mallar-a əlavə et</t>
  </si>
  <si>
    <t xml:space="preserve">Plan_eded</t>
  </si>
  <si>
    <t xml:space="preserve">Plan ədəd</t>
  </si>
  <si>
    <t xml:space="preserve">Planlaşdırılmış miqdar</t>
  </si>
  <si>
    <t xml:space="preserve">Yararli_eded</t>
  </si>
  <si>
    <t xml:space="preserve">Yararlı ədəd</t>
  </si>
  <si>
    <t xml:space="preserve">Yararlı çıxan miqdar</t>
  </si>
  <si>
    <t xml:space="preserve">GOOD</t>
  </si>
  <si>
    <t xml:space="preserve">Qirinti_eded</t>
  </si>
  <si>
    <t xml:space="preserve">Qırıntı ədəd</t>
  </si>
  <si>
    <t xml:space="preserve">Tullantı / zay miqdar</t>
  </si>
  <si>
    <t xml:space="preserve">Scrap</t>
  </si>
  <si>
    <t xml:space="preserve">Geridonusum</t>
  </si>
  <si>
    <t xml:space="preserve">Geridönüşüm</t>
  </si>
  <si>
    <t xml:space="preserve">Yenidən emala qayıdan</t>
  </si>
  <si>
    <t xml:space="preserve">Return</t>
  </si>
  <si>
    <t xml:space="preserve">Plan_saat</t>
  </si>
  <si>
    <t xml:space="preserve">Plan saat</t>
  </si>
  <si>
    <t xml:space="preserve">Planlaşdırılmış iş saatı</t>
  </si>
  <si>
    <t xml:space="preserve">Fakt_saat</t>
  </si>
  <si>
    <t xml:space="preserve">Fakt saat</t>
  </si>
  <si>
    <t xml:space="preserve">Faktiki iş saatı</t>
  </si>
  <si>
    <t xml:space="preserve">Var_saat_faiz</t>
  </si>
  <si>
    <t xml:space="preserve">Saat fərqi %</t>
  </si>
  <si>
    <t xml:space="preserve">(Fakt−Plan)/Plan</t>
  </si>
  <si>
    <t xml:space="preserve">Variance</t>
  </si>
  <si>
    <t xml:space="preserve">Xeta_qrup</t>
  </si>
  <si>
    <t xml:space="preserve">Xəta qrupu</t>
  </si>
  <si>
    <t xml:space="preserve">Ölçü, Səth, Test…</t>
  </si>
  <si>
    <t xml:space="preserve">GIRIS_ALIS</t>
  </si>
  <si>
    <t xml:space="preserve">Alış girişi</t>
  </si>
  <si>
    <t xml:space="preserve">Tədarükdən anbara</t>
  </si>
  <si>
    <t xml:space="preserve">CIXIS_IST</t>
  </si>
  <si>
    <t xml:space="preserve">İstehsala çıxış</t>
  </si>
  <si>
    <t xml:space="preserve">Tələbnamə ilə sexə veriliş</t>
  </si>
  <si>
    <t xml:space="preserve">CIXIS_ZAY</t>
  </si>
  <si>
    <t xml:space="preserve">Zay çıxışı</t>
  </si>
  <si>
    <t xml:space="preserve">Blok_Zay statusuna</t>
  </si>
  <si>
    <t xml:space="preserve">SAYIM_ARTIQ</t>
  </si>
  <si>
    <t xml:space="preserve">Sayım artığı</t>
  </si>
  <si>
    <t xml:space="preserve">İnventarizasiya +</t>
  </si>
  <si>
    <t xml:space="preserve">SAYIM_EKSIK</t>
  </si>
  <si>
    <t xml:space="preserve">Sayım əksiyi</t>
  </si>
  <si>
    <t xml:space="preserve">İnventarizasiya −</t>
  </si>
  <si>
    <t xml:space="preserve">Is_emri_yeni</t>
  </si>
  <si>
    <t xml:space="preserve">Yeni iş əmri</t>
  </si>
  <si>
    <t xml:space="preserve">Təzə planlaşdırılan istehsal tapşırığı</t>
  </si>
  <si>
    <t xml:space="preserve">ümumi</t>
  </si>
  <si>
    <t xml:space="preserve">new WO</t>
  </si>
  <si>
    <t xml:space="preserve">Is_emri_cari</t>
  </si>
  <si>
    <t xml:space="preserve">Cari iş əmri</t>
  </si>
  <si>
    <t xml:space="preserve">İndi sexdə icrada olan</t>
  </si>
  <si>
    <t xml:space="preserve">open WO</t>
  </si>
  <si>
    <t xml:space="preserve">MALLAR — siyahıdan seçim (Sinif, Qrup, Vahid, BOM_da, Mesul, Aktiv)</t>
  </si>
  <si>
    <t xml:space="preserve">Sarı sütunlarda yalnız açılan siyahıdan seçin; siyahıda olmayan yazılmamalıdır.</t>
  </si>
  <si>
    <t xml:space="preserve">Qeyd</t>
  </si>
  <si>
    <t xml:space="preserve">Sinif_siyahi</t>
  </si>
  <si>
    <t xml:space="preserve">Qrup_siyahi</t>
  </si>
  <si>
    <t xml:space="preserve">Vahid_siyahi</t>
  </si>
  <si>
    <t xml:space="preserve">BOM_da_siyahi</t>
  </si>
  <si>
    <t xml:space="preserve">Mesul_siyahi</t>
  </si>
  <si>
    <t xml:space="preserve">Aktiv_siyahi</t>
  </si>
  <si>
    <t xml:space="preserve">XM.PLD.01.005</t>
  </si>
  <si>
    <t xml:space="preserve">Polad lövhə qalınlıq 5 mm (karbon polad)</t>
  </si>
  <si>
    <t xml:space="preserve">XM</t>
  </si>
  <si>
    <t xml:space="preserve">PLD</t>
  </si>
  <si>
    <t xml:space="preserve">kg</t>
  </si>
  <si>
    <t xml:space="preserve">Bəli</t>
  </si>
  <si>
    <t xml:space="preserve">Anbar</t>
  </si>
  <si>
    <t xml:space="preserve">XM.PLD.01.001</t>
  </si>
  <si>
    <t xml:space="preserve">Polad rulon (xam rulon)</t>
  </si>
  <si>
    <t xml:space="preserve">YF</t>
  </si>
  <si>
    <t xml:space="preserve">LTN</t>
  </si>
  <si>
    <t xml:space="preserve">əd</t>
  </si>
  <si>
    <t xml:space="preserve">Xeyr</t>
  </si>
  <si>
    <t xml:space="preserve">Qaynaq ustası</t>
  </si>
  <si>
    <t xml:space="preserve">XM.PLD.01.000</t>
  </si>
  <si>
    <t xml:space="preserve">Polad slab / külçə ekvivalenti</t>
  </si>
  <si>
    <t xml:space="preserve">HM</t>
  </si>
  <si>
    <t xml:space="preserve">ELK</t>
  </si>
  <si>
    <t xml:space="preserve">m</t>
  </si>
  <si>
    <t xml:space="preserve">Elektronika ustası</t>
  </si>
  <si>
    <t xml:space="preserve">XM.LTN.01.001</t>
  </si>
  <si>
    <t xml:space="preserve">Latun çubuq (emal üçün)</t>
  </si>
  <si>
    <t xml:space="preserve">SM</t>
  </si>
  <si>
    <t xml:space="preserve">KBL</t>
  </si>
  <si>
    <t xml:space="preserve">l</t>
  </si>
  <si>
    <t xml:space="preserve">Rəngsazlıq</t>
  </si>
  <si>
    <t xml:space="preserve">XM.ELK.01.001</t>
  </si>
  <si>
    <t xml:space="preserve">Elektron lövhə PCB tip A1</t>
  </si>
  <si>
    <t xml:space="preserve">QB</t>
  </si>
  <si>
    <t xml:space="preserve">BRT</t>
  </si>
  <si>
    <t xml:space="preserve">dəst</t>
  </si>
  <si>
    <t xml:space="preserve">İstehsalat rəhbəri</t>
  </si>
  <si>
    <t xml:space="preserve">XM.ELK.01.002</t>
  </si>
  <si>
    <t xml:space="preserve">Konnektor 12 kontaktlı</t>
  </si>
  <si>
    <t xml:space="preserve">GD</t>
  </si>
  <si>
    <t xml:space="preserve">QYN</t>
  </si>
  <si>
    <t xml:space="preserve">QC</t>
  </si>
  <si>
    <t xml:space="preserve">XM.KBL.01.001</t>
  </si>
  <si>
    <t xml:space="preserve">Kabel montaj 2 metr</t>
  </si>
  <si>
    <t xml:space="preserve">BYA</t>
  </si>
  <si>
    <t xml:space="preserve">Planlaşdırma</t>
  </si>
  <si>
    <t xml:space="preserve">XM.KBL.01.002</t>
  </si>
  <si>
    <t xml:space="preserve">Hidravlik şlanq (metr)</t>
  </si>
  <si>
    <t xml:space="preserve">YAG</t>
  </si>
  <si>
    <t xml:space="preserve">XM.BRT.01.006</t>
  </si>
  <si>
    <t xml:space="preserve">Bolt dəsti M6 (komplekt)</t>
  </si>
  <si>
    <t xml:space="preserve">STD</t>
  </si>
  <si>
    <t xml:space="preserve">SM.QYN.01.001</t>
  </si>
  <si>
    <t xml:space="preserve">Qaynaq elektrodu (sərf materialı)</t>
  </si>
  <si>
    <t xml:space="preserve">ETK</t>
  </si>
  <si>
    <t xml:space="preserve">SM.BYA.01.001</t>
  </si>
  <si>
    <t xml:space="preserve">Boya qara sənaye (litr)</t>
  </si>
  <si>
    <t xml:space="preserve">CRK</t>
  </si>
  <si>
    <t xml:space="preserve">SM.YAG.01.001</t>
  </si>
  <si>
    <t xml:space="preserve">Soyuducu yağ (sərf, BOM-da yox)</t>
  </si>
  <si>
    <t xml:space="preserve">Sex sərfiyyatı</t>
  </si>
  <si>
    <t xml:space="preserve">HDR</t>
  </si>
  <si>
    <t xml:space="preserve">QB.STD.01.001</t>
  </si>
  <si>
    <t xml:space="preserve">Standart qablaşdırma komplekti</t>
  </si>
  <si>
    <t xml:space="preserve">QAP</t>
  </si>
  <si>
    <t xml:space="preserve">QB.ETK.01.001</t>
  </si>
  <si>
    <t xml:space="preserve">Etiket rulon (qablaşdırma sərf)</t>
  </si>
  <si>
    <t xml:space="preserve">BOM-da yox</t>
  </si>
  <si>
    <t xml:space="preserve">NSO</t>
  </si>
  <si>
    <t xml:space="preserve">GD.LTN.01.001</t>
  </si>
  <si>
    <t xml:space="preserve">Latun talas — geridönüşüm anbarı</t>
  </si>
  <si>
    <t xml:space="preserve">KMP</t>
  </si>
  <si>
    <t xml:space="preserve">YF.CRK.01.200</t>
  </si>
  <si>
    <t xml:space="preserve">Çərçivə yığması — paylaşılan yarımfabrikat</t>
  </si>
  <si>
    <t xml:space="preserve">Bir neçə HM-də</t>
  </si>
  <si>
    <t xml:space="preserve">YF.CRK.01.210</t>
  </si>
  <si>
    <t xml:space="preserve">Rama alt qrupu (çərçivə daxili)</t>
  </si>
  <si>
    <t xml:space="preserve">YF.CRK.01.220</t>
  </si>
  <si>
    <t xml:space="preserve">Dayaq düyünü (çərçivə daxili)</t>
  </si>
  <si>
    <t xml:space="preserve">YF.HDR.01.500</t>
  </si>
  <si>
    <t xml:space="preserve">Hidravlik blok — paylaşılan yarımfabrikat</t>
  </si>
  <si>
    <t xml:space="preserve">YF.HDR.01.510</t>
  </si>
  <si>
    <t xml:space="preserve">Klapan qrupu</t>
  </si>
  <si>
    <t xml:space="preserve">YF.HDR.01.520</t>
  </si>
  <si>
    <t xml:space="preserve">Klapan gövdəsi (emal olunmuş)</t>
  </si>
  <si>
    <t xml:space="preserve">YF.ELK.01.300</t>
  </si>
  <si>
    <t xml:space="preserve">Elektron idarə modulu yarımfabrikatı</t>
  </si>
  <si>
    <t xml:space="preserve">YF.ELK.01.310</t>
  </si>
  <si>
    <t xml:space="preserve">PCB alt montaj qrupu</t>
  </si>
  <si>
    <t xml:space="preserve">YF.QAP.01.400</t>
  </si>
  <si>
    <t xml:space="preserve">Qapaq komplekti yarımfabrikatı</t>
  </si>
  <si>
    <t xml:space="preserve">YF.QAP.01.410</t>
  </si>
  <si>
    <t xml:space="preserve">Sac kəsim yarımfabrikatı</t>
  </si>
  <si>
    <t xml:space="preserve">HM.NSO.01.001</t>
  </si>
  <si>
    <t xml:space="preserve">Nasos stansiyası — hazır məhsul (tam komplekt)</t>
  </si>
  <si>
    <t xml:space="preserve">əvvəl A-100</t>
  </si>
  <si>
    <t xml:space="preserve">HM.KMP.01.001</t>
  </si>
  <si>
    <t xml:space="preserve">Kompressor bloku — hazır məhsul</t>
  </si>
  <si>
    <t xml:space="preserve">əvvəl B-200</t>
  </si>
  <si>
    <t xml:space="preserve">HM.HDR.01.001</t>
  </si>
  <si>
    <t xml:space="preserve">Hidravlik modul — hazır məhsul</t>
  </si>
  <si>
    <t xml:space="preserve">əvvəl D-300</t>
  </si>
  <si>
    <t xml:space="preserve">BOM / RESEPTURA — Parent və Component kodları 1_Mallar ilə eyni</t>
  </si>
  <si>
    <t xml:space="preserve">Component_Adi</t>
  </si>
  <si>
    <t xml:space="preserve">Çərçivə yığması (paylaşılan)</t>
  </si>
  <si>
    <t xml:space="preserve">+YF</t>
  </si>
  <si>
    <t xml:space="preserve">Elektron idarə modulu</t>
  </si>
  <si>
    <t xml:space="preserve">Qapaq komplekti</t>
  </si>
  <si>
    <t xml:space="preserve">Hidravlik blok (paylaşılan)</t>
  </si>
  <si>
    <t xml:space="preserve">Bolt dəsti M6</t>
  </si>
  <si>
    <t xml:space="preserve">+Xammal</t>
  </si>
  <si>
    <t xml:space="preserve">HM.NSO.01.001&gt;YF.CRK.01.200</t>
  </si>
  <si>
    <t xml:space="preserve">Rama alt qrupu</t>
  </si>
  <si>
    <t xml:space="preserve">…&gt;YF.CRK.01.210</t>
  </si>
  <si>
    <t xml:space="preserve">Dayaq düyünü</t>
  </si>
  <si>
    <t xml:space="preserve">…&gt;YF.CRK.01.220</t>
  </si>
  <si>
    <t xml:space="preserve">Polad lövhə 5 mm</t>
  </si>
  <si>
    <t xml:space="preserve">…&gt;XM.PLD.01.005</t>
  </si>
  <si>
    <t xml:space="preserve">Polad rulon</t>
  </si>
  <si>
    <t xml:space="preserve">…&gt;XM.PLD.01.001</t>
  </si>
  <si>
    <t xml:space="preserve">Polad slab</t>
  </si>
  <si>
    <t xml:space="preserve">…&gt;YF.HDR.01.520</t>
  </si>
  <si>
    <t xml:space="preserve">Latun çubuq</t>
  </si>
  <si>
    <t xml:space="preserve">Latun talas geridönüşüm</t>
  </si>
  <si>
    <t xml:space="preserve">-Geridönüşüm</t>
  </si>
  <si>
    <t xml:space="preserve">mənfi sərf</t>
  </si>
  <si>
    <t xml:space="preserve">Çərçivə (paylaşılan)</t>
  </si>
  <si>
    <t xml:space="preserve">Hidravlik (paylaşılan)</t>
  </si>
  <si>
    <t xml:space="preserve">Elektron modul</t>
  </si>
  <si>
    <t xml:space="preserve">Hidravlik blok ×2</t>
  </si>
  <si>
    <t xml:space="preserve">ROTA — Mehsul_Kodu = 1_Mallar kodu</t>
  </si>
  <si>
    <t xml:space="preserve">Sira</t>
  </si>
  <si>
    <t xml:space="preserve">XETT-CRK</t>
  </si>
  <si>
    <t xml:space="preserve">EM-KESIM</t>
  </si>
  <si>
    <t xml:space="preserve">Çərçivə kəsimi</t>
  </si>
  <si>
    <t xml:space="preserve">DM-10</t>
  </si>
  <si>
    <t xml:space="preserve">EM-QAYNAQ</t>
  </si>
  <si>
    <t xml:space="preserve">Çərçivə qaynağı</t>
  </si>
  <si>
    <t xml:space="preserve">DM-20</t>
  </si>
  <si>
    <t xml:space="preserve">EM-QC</t>
  </si>
  <si>
    <t xml:space="preserve">Çərçivə keyfiyyət yoxlaması</t>
  </si>
  <si>
    <t xml:space="preserve">DM-40</t>
  </si>
  <si>
    <t xml:space="preserve">XETT-HDR</t>
  </si>
  <si>
    <t xml:space="preserve">EM-HDR-YIG</t>
  </si>
  <si>
    <t xml:space="preserve">Hidravlik blok yığımı</t>
  </si>
  <si>
    <t xml:space="preserve">DM-30</t>
  </si>
  <si>
    <t xml:space="preserve">EM-GOVDE</t>
  </si>
  <si>
    <t xml:space="preserve">Klapan gövdəsi emalı</t>
  </si>
  <si>
    <t xml:space="preserve">XETT-ELK</t>
  </si>
  <si>
    <t xml:space="preserve">EM-PCB</t>
  </si>
  <si>
    <t xml:space="preserve">PCB montajı</t>
  </si>
  <si>
    <t xml:space="preserve">DM-25</t>
  </si>
  <si>
    <t xml:space="preserve">XETT-QAP</t>
  </si>
  <si>
    <t xml:space="preserve">EM-BOYA</t>
  </si>
  <si>
    <t xml:space="preserve">Qapaq boyaması</t>
  </si>
  <si>
    <t xml:space="preserve">DM-35</t>
  </si>
  <si>
    <t xml:space="preserve">XETT-MONTAJ</t>
  </si>
  <si>
    <t xml:space="preserve">EM-MONTAJ</t>
  </si>
  <si>
    <t xml:space="preserve">Nasos stansiyası son montaj</t>
  </si>
  <si>
    <t xml:space="preserve">Kompressor son montaj</t>
  </si>
  <si>
    <t xml:space="preserve">Hidravlik modul son montaj</t>
  </si>
  <si>
    <t xml:space="preserve">HƏRƏKƏT — başlıqlar blank köçürməsi ilə eyni · Sinif/Qrup VLOOKUP</t>
  </si>
  <si>
    <t xml:space="preserve">Tarix</t>
  </si>
  <si>
    <t xml:space="preserve">SERBEST</t>
  </si>
  <si>
    <t xml:space="preserve">AL-1001</t>
  </si>
  <si>
    <t xml:space="preserve">Alış</t>
  </si>
  <si>
    <t xml:space="preserve">Qaynaq elektrodu</t>
  </si>
  <si>
    <t xml:space="preserve">AL-1002</t>
  </si>
  <si>
    <t xml:space="preserve">IE-CRK-01</t>
  </si>
  <si>
    <t xml:space="preserve">TL-2001</t>
  </si>
  <si>
    <t xml:space="preserve">Tələbnamə</t>
  </si>
  <si>
    <t xml:space="preserve">IE-HDR-01</t>
  </si>
  <si>
    <t xml:space="preserve">TL-2002</t>
  </si>
  <si>
    <t xml:space="preserve">GIRIS_RETURN</t>
  </si>
  <si>
    <t xml:space="preserve">Latun talas</t>
  </si>
  <si>
    <t xml:space="preserve">RT-10</t>
  </si>
  <si>
    <t xml:space="preserve">BLOK_ZAY</t>
  </si>
  <si>
    <t xml:space="preserve">ZY-01</t>
  </si>
  <si>
    <t xml:space="preserve">GIRIS_IST</t>
  </si>
  <si>
    <t xml:space="preserve">Çərçivə yığması</t>
  </si>
  <si>
    <t xml:space="preserve">IS-01</t>
  </si>
  <si>
    <t xml:space="preserve">SY-01</t>
  </si>
  <si>
    <t xml:space="preserve">SY-2026-01</t>
  </si>
  <si>
    <t xml:space="preserve">Etiket rulon</t>
  </si>
  <si>
    <t xml:space="preserve">Yeni mal</t>
  </si>
  <si>
    <t xml:space="preserve">ANBAR QALIĞI — Sərbəst = yeni iş əmrinə verilə bilən miqdar</t>
  </si>
  <si>
    <t xml:space="preserve">Serbest_kifayet: Sərbəst ≥ Min_stok → Kifayət; əks halda Çatışmır. Rezerv/Blok verilmir.</t>
  </si>
  <si>
    <t xml:space="preserve">PCB tip A1</t>
  </si>
  <si>
    <t xml:space="preserve">Hidravlik blok</t>
  </si>
  <si>
    <t xml:space="preserve">Soyuducu yağ</t>
  </si>
  <si>
    <t xml:space="preserve">SAYIM — sütun adları 1_Mallar / 4_Hareket ilə uyğun</t>
  </si>
  <si>
    <t xml:space="preserve">Hareket_koculdu</t>
  </si>
  <si>
    <t xml:space="preserve">Mallar_koculdu</t>
  </si>
  <si>
    <t xml:space="preserve">Köçürmə: Yeni_mal → 1_Mallar (eyni sütun adları) · Ferq → 4_Hareket (Hereket_Kodu=SAYIM_ARTIQ/EKSIK) · 5_Saldo</t>
  </si>
  <si>
    <t xml:space="preserve">İSTEHSAL FAKT — sütun adları blank C formu ilə eyni</t>
  </si>
  <si>
    <t xml:space="preserve">Ölçü</t>
  </si>
  <si>
    <t xml:space="preserve">IE-NSO-03</t>
  </si>
  <si>
    <t xml:space="preserve">—</t>
  </si>
  <si>
    <t xml:space="preserve">IE-QAP-02</t>
  </si>
  <si>
    <t xml:space="preserve">Səth</t>
  </si>
  <si>
    <t xml:space="preserve">IE-KMP-05</t>
  </si>
  <si>
    <t xml:space="preserve">IE-HDR-06</t>
  </si>
  <si>
    <t xml:space="preserve">Montaj</t>
  </si>
  <si>
    <t xml:space="preserve">XÜLASƏ — 7_Fakt sütun adlarına uyğun</t>
  </si>
  <si>
    <t xml:space="preserve">A) Məhsul üzrə</t>
  </si>
  <si>
    <t xml:space="preserve">B) Sayım (4_Hareket)</t>
  </si>
  <si>
    <t xml:space="preserve">Sətir</t>
  </si>
  <si>
    <t xml:space="preserve">C) Sərbəst veriliş qalığı — yeni iş əmri üçün kifayətdirmi? (5_Saldo)</t>
  </si>
  <si>
    <t xml:space="preserve">BLANKLAR — sütun adları köçürmə vərəqi ilə eyni · Hereket_Kodu hər blokda göstərilir</t>
  </si>
  <si>
    <t xml:space="preserve">Doldur → imzala → eyni adlı sütunlara köçür (4_Hareket / 7_Fakt / 1_Mallar / 2_BOM)</t>
  </si>
  <si>
    <t xml:space="preserve">A) ALIŞ / ANBAR QƏBUL</t>
  </si>
  <si>
    <t xml:space="preserve">Köçür: 4_Hareket · İmza: Tədarük ________    Anbar ________    QC ________</t>
  </si>
  <si>
    <t xml:space="preserve">B) TƏLƏBNAMƏ (istehsala veriliş)</t>
  </si>
  <si>
    <t xml:space="preserve">Köçür: 4_Hareket (Miqdar mənfi: −) · Yalnız Status=SERBEST stok · İmza: Sex ________    Anbar ________</t>
  </si>
  <si>
    <t xml:space="preserve">C) İSTEHSAL NÖVBƏ → 7_Fakt</t>
  </si>
  <si>
    <t xml:space="preserve">Əlavə material → 4_Hareket, Hereket_Kodu=CIXIS_IST</t>
  </si>
  <si>
    <t xml:space="preserve">Köçür: 7_Fakt (+ əlavə mal 4_Hareket) · İmza: Usta ________    QC ________</t>
  </si>
  <si>
    <t xml:space="preserve">D) KEYFİYYƏT / ZAY</t>
  </si>
  <si>
    <t xml:space="preserve">Köçür: 4_Hareket · 5_Saldo Blok_Zay · İmza: QC ________    Anbar ________</t>
  </si>
  <si>
    <t xml:space="preserve">E) BOM TƏSDİQ → 2_BOM</t>
  </si>
  <si>
    <t xml:space="preserve">Versiya</t>
  </si>
  <si>
    <t xml:space="preserve">Köçür: 2_BOM · İmza: Plan ________    İstehsalat ________    Keyfiyyət ________</t>
  </si>
  <si>
    <t xml:space="preserve">QAYDA: Hereket_Kodu blankın yuxarısındadır (sarı). Sətir sütunları = 4_Hareket / 7_Fakt sütun adları. Miqdar çıxışda mənfi (−) yazılır.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</si>
</sst>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%"/>
    <numFmt numFmtId="168" formatCode="dd\.mm\.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430"/>
      <name val="Arial"/>
      <family val="0"/>
      <charset val="1"/>
    </font>
    <font>
      <i val="true"/>
      <sz val="9"/>
      <color rgb="FF57626F"/>
      <name val="Arial"/>
      <family val="0"/>
      <charset val="1"/>
    </font>
    <font>
      <b val="true"/>
      <sz val="11"/>
      <color rgb="FF1B335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6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358"/>
        <bgColor rgb="FF1B2430"/>
      </patternFill>
    </fill>
    <fill>
      <patternFill patternType="solid">
        <fgColor rgb="FFFFF2CC"/>
        <bgColor rgb="FFF0F3F7"/>
      </patternFill>
    </fill>
    <fill>
      <patternFill patternType="solid">
        <fgColor rgb="FFF7F9FC"/>
        <bgColor rgb="FFF0F3F7"/>
      </patternFill>
    </fill>
    <fill>
      <patternFill patternType="solid">
        <fgColor rgb="FF0E7C86"/>
        <bgColor rgb="FF008080"/>
      </patternFill>
    </fill>
    <fill>
      <patternFill patternType="solid">
        <fgColor rgb="FFE2EFDA"/>
        <bgColor rgb="FFF0F3F7"/>
      </patternFill>
    </fill>
    <fill>
      <patternFill patternType="solid">
        <fgColor rgb="FFF0F3F7"/>
        <bgColor rgb="FFF7F9FC"/>
      </patternFill>
    </fill>
    <fill>
      <patternFill patternType="solid">
        <fgColor rgb="FF6B5A9C"/>
        <bgColor rgb="FF57626F"/>
      </patternFill>
    </fill>
    <fill>
      <patternFill patternType="solid">
        <fgColor rgb="FFBD5D2C"/>
        <bgColor rgb="FF9C57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0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0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0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0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8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7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5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B335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E7C8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600"/>
      <rgbColor rgb="FF000080"/>
      <rgbColor rgb="FF808000"/>
      <rgbColor rgb="FF800080"/>
      <rgbColor rgb="FF0E7C86"/>
      <rgbColor rgb="FFB0B8C1"/>
      <rgbColor rgb="FF57626F"/>
      <rgbColor rgb="FF9999FF"/>
      <rgbColor rgb="FF993366"/>
      <rgbColor rgb="FFFFF2CC"/>
      <rgbColor rgb="FFE2EFDA"/>
      <rgbColor rgb="FF660066"/>
      <rgbColor rgb="FFFF8080"/>
      <rgbColor rgb="FF0066CC"/>
      <rgbColor rgb="FFF7F9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3F7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BD5D2C"/>
      <rgbColor rgb="FF6B5A9C"/>
      <rgbColor rgb="FF969696"/>
      <rgbColor rgb="FF1B3358"/>
      <rgbColor rgb="FF339966"/>
      <rgbColor rgb="FF006100"/>
      <rgbColor rgb="FF333300"/>
      <rgbColor rgb="FF9C57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  <c r="B6" s="1" t="s">
        <v>5</v>
      </c>
    </row>
    <row r="7" customFormat="false" ht="15" hidden="false" customHeight="true" outlineLevel="0" collapsed="false">
      <c r="A7" s="5" t="s">
        <v>6</v>
      </c>
      <c r="B7" s="1" t="s">
        <v>7</v>
      </c>
    </row>
    <row r="8" customFormat="false" ht="15" hidden="false" customHeight="true" outlineLevel="0" collapsed="false">
      <c r="A8" s="5" t="s">
        <v>8</v>
      </c>
      <c r="B8" s="1" t="s">
        <v>9</v>
      </c>
    </row>
    <row r="9" customFormat="false" ht="15" hidden="false" customHeight="true" outlineLevel="0" collapsed="false">
      <c r="A9" s="5" t="s">
        <v>10</v>
      </c>
      <c r="B9" s="1" t="s">
        <v>11</v>
      </c>
    </row>
    <row r="10" customFormat="false" ht="15" hidden="false" customHeight="true" outlineLevel="0" collapsed="false">
      <c r="A10" s="5" t="s">
        <v>12</v>
      </c>
      <c r="B10" s="1" t="s">
        <v>13</v>
      </c>
    </row>
    <row r="11" customFormat="false" ht="15" hidden="false" customHeight="true" outlineLevel="0" collapsed="false">
      <c r="A11" s="5" t="s">
        <v>14</v>
      </c>
      <c r="B11" s="1" t="s">
        <v>15</v>
      </c>
    </row>
    <row r="12" customFormat="false" ht="15" hidden="false" customHeight="true" outlineLevel="0" collapsed="false">
      <c r="A12" s="5" t="s">
        <v>16</v>
      </c>
      <c r="B12" s="1" t="s">
        <v>17</v>
      </c>
    </row>
    <row r="13" customFormat="false" ht="15" hidden="false" customHeight="true" outlineLevel="0" collapsed="false">
      <c r="A13" s="5" t="s">
        <v>18</v>
      </c>
      <c r="B13" s="1" t="s">
        <v>19</v>
      </c>
    </row>
    <row r="14" customFormat="false" ht="15" hidden="false" customHeight="true" outlineLevel="0" collapsed="false">
      <c r="A14" s="5" t="s">
        <v>20</v>
      </c>
      <c r="B14" s="1" t="s">
        <v>21</v>
      </c>
    </row>
    <row r="15" customFormat="false" ht="15" hidden="false" customHeight="true" outlineLevel="0" collapsed="false">
      <c r="A15" s="5" t="s">
        <v>22</v>
      </c>
      <c r="B15" s="1" t="s">
        <v>23</v>
      </c>
    </row>
    <row r="18" customFormat="false" ht="15" hidden="false" customHeight="true" outlineLevel="0" collapsed="false">
      <c r="A18" s="3" t="s">
        <v>24</v>
      </c>
    </row>
    <row r="19" customFormat="false" ht="15" hidden="false" customHeight="false" outlineLevel="0" collapsed="false">
      <c r="A19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5" min="4" style="1" width="14"/>
  </cols>
  <sheetData>
    <row r="1" customFormat="false" ht="17.25" hidden="false" customHeight="true" outlineLevel="0" collapsed="false">
      <c r="A1" s="2" t="s">
        <v>26</v>
      </c>
    </row>
    <row r="2" customFormat="false" ht="15" hidden="false" customHeight="false" outlineLevel="0" collapsed="false">
      <c r="A2" s="6" t="s">
        <v>27</v>
      </c>
    </row>
    <row r="3" customFormat="false" ht="15" hidden="false" customHeight="true" outlineLevel="0" collapsed="false">
      <c r="A3" s="7"/>
      <c r="B3" s="7"/>
      <c r="C3" s="7"/>
      <c r="D3" s="7"/>
      <c r="E3" s="7"/>
    </row>
    <row r="4" customFormat="false" ht="15" hidden="false" customHeight="true" outlineLevel="0" collapsed="false">
      <c r="A4" s="8" t="s">
        <v>28</v>
      </c>
      <c r="B4" s="8" t="s">
        <v>29</v>
      </c>
      <c r="C4" s="8" t="s">
        <v>30</v>
      </c>
      <c r="D4" s="8" t="s">
        <v>31</v>
      </c>
      <c r="E4" s="8" t="s">
        <v>32</v>
      </c>
    </row>
    <row r="5" customFormat="false" ht="15" hidden="false" customHeight="true" outlineLevel="0" collapsed="false">
      <c r="A5" s="9" t="s">
        <v>33</v>
      </c>
      <c r="B5" s="10" t="s">
        <v>34</v>
      </c>
      <c r="C5" s="10" t="s">
        <v>35</v>
      </c>
      <c r="D5" s="10" t="s">
        <v>4</v>
      </c>
      <c r="E5" s="10"/>
    </row>
    <row r="6" customFormat="false" ht="15" hidden="false" customHeight="true" outlineLevel="0" collapsed="false">
      <c r="A6" s="9" t="s">
        <v>36</v>
      </c>
      <c r="B6" s="10" t="s">
        <v>37</v>
      </c>
      <c r="C6" s="10" t="s">
        <v>38</v>
      </c>
      <c r="D6" s="10" t="s">
        <v>4</v>
      </c>
      <c r="E6" s="10"/>
    </row>
    <row r="7" customFormat="false" ht="15" hidden="false" customHeight="true" outlineLevel="0" collapsed="false">
      <c r="A7" s="9" t="s">
        <v>39</v>
      </c>
      <c r="B7" s="10" t="s">
        <v>39</v>
      </c>
      <c r="C7" s="10" t="s">
        <v>40</v>
      </c>
      <c r="D7" s="10" t="s">
        <v>4</v>
      </c>
      <c r="E7" s="10"/>
    </row>
    <row r="8" customFormat="false" ht="15" hidden="false" customHeight="true" outlineLevel="0" collapsed="false">
      <c r="A8" s="9" t="s">
        <v>41</v>
      </c>
      <c r="B8" s="10" t="s">
        <v>41</v>
      </c>
      <c r="C8" s="10" t="s">
        <v>42</v>
      </c>
      <c r="D8" s="10" t="s">
        <v>4</v>
      </c>
      <c r="E8" s="10"/>
    </row>
    <row r="9" customFormat="false" ht="15" hidden="false" customHeight="true" outlineLevel="0" collapsed="false">
      <c r="A9" s="9" t="s">
        <v>43</v>
      </c>
      <c r="B9" s="10" t="s">
        <v>44</v>
      </c>
      <c r="C9" s="10" t="s">
        <v>45</v>
      </c>
      <c r="D9" s="10" t="s">
        <v>4</v>
      </c>
      <c r="E9" s="10" t="s">
        <v>46</v>
      </c>
    </row>
    <row r="10" customFormat="false" ht="15" hidden="false" customHeight="true" outlineLevel="0" collapsed="false">
      <c r="A10" s="9" t="s">
        <v>47</v>
      </c>
      <c r="B10" s="10" t="s">
        <v>48</v>
      </c>
      <c r="C10" s="10" t="s">
        <v>49</v>
      </c>
      <c r="D10" s="10" t="s">
        <v>50</v>
      </c>
      <c r="E10" s="10"/>
    </row>
    <row r="11" customFormat="false" ht="15" hidden="false" customHeight="true" outlineLevel="0" collapsed="false">
      <c r="A11" s="9" t="s">
        <v>51</v>
      </c>
      <c r="B11" s="10" t="s">
        <v>52</v>
      </c>
      <c r="C11" s="10" t="s">
        <v>53</v>
      </c>
      <c r="D11" s="10" t="s">
        <v>4</v>
      </c>
      <c r="E11" s="10"/>
    </row>
    <row r="12" customFormat="false" ht="15" hidden="false" customHeight="true" outlineLevel="0" collapsed="false">
      <c r="A12" s="9" t="s">
        <v>54</v>
      </c>
      <c r="B12" s="10" t="s">
        <v>55</v>
      </c>
      <c r="C12" s="10" t="s">
        <v>56</v>
      </c>
      <c r="D12" s="10" t="s">
        <v>57</v>
      </c>
      <c r="E12" s="10"/>
    </row>
    <row r="13" customFormat="false" ht="15" hidden="false" customHeight="true" outlineLevel="0" collapsed="false">
      <c r="A13" s="9" t="s">
        <v>58</v>
      </c>
      <c r="B13" s="10" t="s">
        <v>59</v>
      </c>
      <c r="C13" s="10" t="s">
        <v>60</v>
      </c>
      <c r="D13" s="10" t="s">
        <v>4</v>
      </c>
      <c r="E13" s="10"/>
    </row>
    <row r="14" customFormat="false" ht="15" hidden="false" customHeight="true" outlineLevel="0" collapsed="false">
      <c r="A14" s="9" t="s">
        <v>61</v>
      </c>
      <c r="B14" s="10" t="s">
        <v>62</v>
      </c>
      <c r="C14" s="10" t="s">
        <v>63</v>
      </c>
      <c r="D14" s="10" t="s">
        <v>6</v>
      </c>
      <c r="E14" s="10"/>
    </row>
    <row r="15" customFormat="false" ht="15" hidden="false" customHeight="true" outlineLevel="0" collapsed="false">
      <c r="A15" s="9" t="s">
        <v>64</v>
      </c>
      <c r="B15" s="10" t="s">
        <v>65</v>
      </c>
      <c r="C15" s="10" t="s">
        <v>66</v>
      </c>
      <c r="D15" s="10" t="s">
        <v>6</v>
      </c>
      <c r="E15" s="10"/>
    </row>
    <row r="16" customFormat="false" ht="15" hidden="false" customHeight="true" outlineLevel="0" collapsed="false">
      <c r="A16" s="9" t="s">
        <v>67</v>
      </c>
      <c r="B16" s="10" t="s">
        <v>68</v>
      </c>
      <c r="C16" s="10" t="s">
        <v>69</v>
      </c>
      <c r="D16" s="10" t="s">
        <v>6</v>
      </c>
      <c r="E16" s="10"/>
    </row>
    <row r="17" customFormat="false" ht="15" hidden="false" customHeight="true" outlineLevel="0" collapsed="false">
      <c r="A17" s="9" t="s">
        <v>70</v>
      </c>
      <c r="B17" s="10" t="s">
        <v>71</v>
      </c>
      <c r="C17" s="10" t="s">
        <v>72</v>
      </c>
      <c r="D17" s="10" t="s">
        <v>6</v>
      </c>
      <c r="E17" s="10"/>
    </row>
    <row r="18" customFormat="false" ht="15" hidden="false" customHeight="true" outlineLevel="0" collapsed="false">
      <c r="A18" s="9" t="s">
        <v>73</v>
      </c>
      <c r="B18" s="10" t="s">
        <v>74</v>
      </c>
      <c r="C18" s="10" t="s">
        <v>75</v>
      </c>
      <c r="D18" s="10" t="s">
        <v>6</v>
      </c>
      <c r="E18" s="10"/>
    </row>
    <row r="19" customFormat="false" ht="15" hidden="false" customHeight="false" outlineLevel="0" collapsed="false">
      <c r="A19" s="11" t="s">
        <v>76</v>
      </c>
      <c r="B19" s="12" t="s">
        <v>76</v>
      </c>
      <c r="C19" s="12" t="s">
        <v>77</v>
      </c>
      <c r="D19" s="12" t="s">
        <v>78</v>
      </c>
      <c r="E19" s="12" t="s">
        <v>79</v>
      </c>
    </row>
    <row r="20" customFormat="false" ht="15" hidden="false" customHeight="false" outlineLevel="0" collapsed="false">
      <c r="A20" s="11" t="s">
        <v>80</v>
      </c>
      <c r="B20" s="12" t="s">
        <v>81</v>
      </c>
      <c r="C20" s="12" t="s">
        <v>82</v>
      </c>
      <c r="D20" s="12" t="s">
        <v>6</v>
      </c>
      <c r="E20" s="12" t="s">
        <v>83</v>
      </c>
    </row>
    <row r="21" customFormat="false" ht="15" hidden="false" customHeight="false" outlineLevel="0" collapsed="false">
      <c r="A21" s="11" t="s">
        <v>84</v>
      </c>
      <c r="B21" s="12" t="s">
        <v>85</v>
      </c>
      <c r="C21" s="12" t="s">
        <v>86</v>
      </c>
      <c r="D21" s="12" t="s">
        <v>6</v>
      </c>
      <c r="E21" s="12"/>
    </row>
    <row r="22" customFormat="false" ht="15" hidden="false" customHeight="false" outlineLevel="0" collapsed="false">
      <c r="A22" s="11" t="s">
        <v>87</v>
      </c>
      <c r="B22" s="12" t="s">
        <v>88</v>
      </c>
      <c r="C22" s="12" t="s">
        <v>89</v>
      </c>
      <c r="D22" s="12" t="s">
        <v>90</v>
      </c>
      <c r="E22" s="12"/>
    </row>
    <row r="23" customFormat="false" ht="15" hidden="false" customHeight="false" outlineLevel="0" collapsed="false">
      <c r="A23" s="11" t="s">
        <v>91</v>
      </c>
      <c r="B23" s="12" t="s">
        <v>92</v>
      </c>
      <c r="C23" s="12" t="s">
        <v>93</v>
      </c>
      <c r="D23" s="12" t="s">
        <v>90</v>
      </c>
      <c r="E23" s="12"/>
    </row>
    <row r="24" customFormat="false" ht="15" hidden="false" customHeight="false" outlineLevel="0" collapsed="false">
      <c r="A24" s="11" t="s">
        <v>94</v>
      </c>
      <c r="B24" s="12" t="s">
        <v>95</v>
      </c>
      <c r="C24" s="12" t="s">
        <v>96</v>
      </c>
      <c r="D24" s="12" t="s">
        <v>90</v>
      </c>
      <c r="E24" s="12" t="s">
        <v>97</v>
      </c>
    </row>
    <row r="25" customFormat="false" ht="15" hidden="false" customHeight="false" outlineLevel="0" collapsed="false">
      <c r="A25" s="11" t="s">
        <v>98</v>
      </c>
      <c r="B25" s="12" t="s">
        <v>99</v>
      </c>
      <c r="C25" s="12" t="s">
        <v>100</v>
      </c>
      <c r="D25" s="12" t="s">
        <v>8</v>
      </c>
      <c r="E25" s="12"/>
    </row>
    <row r="26" customFormat="false" ht="15" hidden="false" customHeight="false" outlineLevel="0" collapsed="false">
      <c r="A26" s="11" t="s">
        <v>101</v>
      </c>
      <c r="B26" s="12" t="s">
        <v>102</v>
      </c>
      <c r="C26" s="12" t="s">
        <v>103</v>
      </c>
      <c r="D26" s="12" t="s">
        <v>8</v>
      </c>
      <c r="E26" s="12" t="s">
        <v>104</v>
      </c>
    </row>
    <row r="27" customFormat="false" ht="15" hidden="false" customHeight="false" outlineLevel="0" collapsed="false">
      <c r="A27" s="11" t="s">
        <v>105</v>
      </c>
      <c r="B27" s="12" t="s">
        <v>106</v>
      </c>
      <c r="C27" s="12" t="s">
        <v>107</v>
      </c>
      <c r="D27" s="12" t="s">
        <v>8</v>
      </c>
      <c r="E27" s="12"/>
    </row>
    <row r="28" customFormat="false" ht="15" hidden="false" customHeight="false" outlineLevel="0" collapsed="false">
      <c r="A28" s="11" t="s">
        <v>108</v>
      </c>
      <c r="B28" s="12" t="s">
        <v>109</v>
      </c>
      <c r="C28" s="12" t="s">
        <v>110</v>
      </c>
      <c r="D28" s="12" t="s">
        <v>8</v>
      </c>
      <c r="E28" s="12"/>
    </row>
    <row r="29" customFormat="false" ht="15" hidden="false" customHeight="false" outlineLevel="0" collapsed="false">
      <c r="A29" s="11" t="s">
        <v>111</v>
      </c>
      <c r="B29" s="12" t="s">
        <v>112</v>
      </c>
      <c r="C29" s="12" t="s">
        <v>113</v>
      </c>
      <c r="D29" s="12" t="s">
        <v>10</v>
      </c>
      <c r="E29" s="12" t="s">
        <v>114</v>
      </c>
    </row>
    <row r="30" customFormat="false" ht="15" hidden="false" customHeight="false" outlineLevel="0" collapsed="false">
      <c r="A30" s="11" t="s">
        <v>115</v>
      </c>
      <c r="B30" s="12" t="s">
        <v>116</v>
      </c>
      <c r="C30" s="12" t="s">
        <v>117</v>
      </c>
      <c r="D30" s="12" t="s">
        <v>118</v>
      </c>
      <c r="E30" s="12" t="s">
        <v>119</v>
      </c>
    </row>
    <row r="31" customFormat="false" ht="15" hidden="false" customHeight="false" outlineLevel="0" collapsed="false">
      <c r="A31" s="11" t="s">
        <v>120</v>
      </c>
      <c r="B31" s="12" t="s">
        <v>121</v>
      </c>
      <c r="C31" s="12" t="s">
        <v>122</v>
      </c>
      <c r="D31" s="12" t="s">
        <v>10</v>
      </c>
      <c r="E31" s="12"/>
    </row>
    <row r="32" customFormat="false" ht="15" hidden="false" customHeight="false" outlineLevel="0" collapsed="false">
      <c r="A32" s="11" t="s">
        <v>123</v>
      </c>
      <c r="B32" s="12" t="s">
        <v>124</v>
      </c>
      <c r="C32" s="12" t="s">
        <v>125</v>
      </c>
      <c r="D32" s="12" t="s">
        <v>126</v>
      </c>
      <c r="E32" s="12"/>
    </row>
    <row r="33" customFormat="false" ht="15" hidden="false" customHeight="false" outlineLevel="0" collapsed="false">
      <c r="A33" s="11" t="s">
        <v>127</v>
      </c>
      <c r="B33" s="12" t="s">
        <v>128</v>
      </c>
      <c r="C33" s="12" t="s">
        <v>129</v>
      </c>
      <c r="D33" s="12" t="s">
        <v>10</v>
      </c>
      <c r="E33" s="12"/>
    </row>
    <row r="34" customFormat="false" ht="15" hidden="false" customHeight="false" outlineLevel="0" collapsed="false">
      <c r="A34" s="11" t="s">
        <v>130</v>
      </c>
      <c r="B34" s="12" t="s">
        <v>130</v>
      </c>
      <c r="C34" s="12" t="s">
        <v>131</v>
      </c>
      <c r="D34" s="12" t="s">
        <v>118</v>
      </c>
      <c r="E34" s="12"/>
    </row>
    <row r="35" customFormat="false" ht="15" hidden="false" customHeight="false" outlineLevel="0" collapsed="false">
      <c r="A35" s="11" t="s">
        <v>132</v>
      </c>
      <c r="B35" s="12" t="s">
        <v>133</v>
      </c>
      <c r="C35" s="12" t="s">
        <v>134</v>
      </c>
      <c r="D35" s="12" t="s">
        <v>12</v>
      </c>
      <c r="E35" s="12" t="s">
        <v>135</v>
      </c>
    </row>
    <row r="36" customFormat="false" ht="15" hidden="false" customHeight="false" outlineLevel="0" collapsed="false">
      <c r="A36" s="11" t="s">
        <v>136</v>
      </c>
      <c r="B36" s="12" t="s">
        <v>137</v>
      </c>
      <c r="C36" s="12" t="s">
        <v>138</v>
      </c>
      <c r="D36" s="12" t="s">
        <v>12</v>
      </c>
      <c r="E36" s="12"/>
    </row>
    <row r="37" customFormat="false" ht="15" hidden="false" customHeight="false" outlineLevel="0" collapsed="false">
      <c r="A37" s="11" t="s">
        <v>139</v>
      </c>
      <c r="B37" s="12" t="s">
        <v>140</v>
      </c>
      <c r="C37" s="12" t="s">
        <v>141</v>
      </c>
      <c r="D37" s="12" t="s">
        <v>12</v>
      </c>
      <c r="E37" s="12"/>
    </row>
    <row r="38" customFormat="false" ht="15" hidden="false" customHeight="false" outlineLevel="0" collapsed="false">
      <c r="A38" s="11" t="s">
        <v>142</v>
      </c>
      <c r="B38" s="12" t="s">
        <v>143</v>
      </c>
      <c r="C38" s="12" t="s">
        <v>144</v>
      </c>
      <c r="D38" s="12" t="s">
        <v>12</v>
      </c>
      <c r="E38" s="12"/>
    </row>
    <row r="39" customFormat="false" ht="15" hidden="false" customHeight="false" outlineLevel="0" collapsed="false">
      <c r="A39" s="11" t="s">
        <v>145</v>
      </c>
      <c r="B39" s="12" t="s">
        <v>146</v>
      </c>
      <c r="C39" s="12" t="s">
        <v>147</v>
      </c>
      <c r="D39" s="12" t="s">
        <v>12</v>
      </c>
      <c r="E39" s="12"/>
    </row>
    <row r="40" customFormat="false" ht="15" hidden="false" customHeight="false" outlineLevel="0" collapsed="false">
      <c r="A40" s="11" t="s">
        <v>148</v>
      </c>
      <c r="B40" s="12" t="s">
        <v>149</v>
      </c>
      <c r="C40" s="12" t="s">
        <v>150</v>
      </c>
      <c r="D40" s="12" t="s">
        <v>151</v>
      </c>
      <c r="E40" s="12" t="s">
        <v>152</v>
      </c>
    </row>
    <row r="41" customFormat="false" ht="15" hidden="false" customHeight="false" outlineLevel="0" collapsed="false">
      <c r="A41" s="11" t="s">
        <v>153</v>
      </c>
      <c r="B41" s="12" t="s">
        <v>154</v>
      </c>
      <c r="C41" s="12" t="s">
        <v>155</v>
      </c>
      <c r="D41" s="12" t="s">
        <v>14</v>
      </c>
      <c r="E41" s="12"/>
    </row>
    <row r="42" customFormat="false" ht="15" hidden="false" customHeight="false" outlineLevel="0" collapsed="false">
      <c r="A42" s="11" t="s">
        <v>156</v>
      </c>
      <c r="B42" s="12" t="s">
        <v>157</v>
      </c>
      <c r="C42" s="12" t="s">
        <v>158</v>
      </c>
      <c r="D42" s="12" t="s">
        <v>14</v>
      </c>
      <c r="E42" s="12"/>
    </row>
    <row r="43" customFormat="false" ht="15" hidden="false" customHeight="false" outlineLevel="0" collapsed="false">
      <c r="A43" s="11" t="s">
        <v>159</v>
      </c>
      <c r="B43" s="12" t="s">
        <v>160</v>
      </c>
      <c r="C43" s="12" t="s">
        <v>161</v>
      </c>
      <c r="D43" s="12" t="s">
        <v>14</v>
      </c>
      <c r="E43" s="12"/>
    </row>
    <row r="44" customFormat="false" ht="15" hidden="false" customHeight="false" outlineLevel="0" collapsed="false">
      <c r="A44" s="11" t="s">
        <v>162</v>
      </c>
      <c r="B44" s="12" t="s">
        <v>163</v>
      </c>
      <c r="C44" s="12" t="s">
        <v>164</v>
      </c>
      <c r="D44" s="12" t="s">
        <v>14</v>
      </c>
      <c r="E44" s="12"/>
    </row>
    <row r="45" customFormat="false" ht="15" hidden="false" customHeight="false" outlineLevel="0" collapsed="false">
      <c r="A45" s="11" t="s">
        <v>165</v>
      </c>
      <c r="B45" s="12" t="s">
        <v>166</v>
      </c>
      <c r="C45" s="12" t="s">
        <v>167</v>
      </c>
      <c r="D45" s="12" t="s">
        <v>14</v>
      </c>
      <c r="E45" s="12"/>
    </row>
    <row r="46" customFormat="false" ht="15" hidden="false" customHeight="false" outlineLevel="0" collapsed="false">
      <c r="A46" s="11" t="s">
        <v>168</v>
      </c>
      <c r="B46" s="12" t="s">
        <v>169</v>
      </c>
      <c r="C46" s="12" t="s">
        <v>170</v>
      </c>
      <c r="D46" s="12" t="s">
        <v>16</v>
      </c>
      <c r="E46" s="12"/>
    </row>
    <row r="47" customFormat="false" ht="15" hidden="false" customHeight="false" outlineLevel="0" collapsed="false">
      <c r="A47" s="11" t="s">
        <v>171</v>
      </c>
      <c r="B47" s="12" t="s">
        <v>172</v>
      </c>
      <c r="C47" s="12" t="s">
        <v>173</v>
      </c>
      <c r="D47" s="12" t="s">
        <v>16</v>
      </c>
      <c r="E47" s="12" t="s">
        <v>174</v>
      </c>
    </row>
    <row r="48" customFormat="false" ht="15" hidden="false" customHeight="false" outlineLevel="0" collapsed="false">
      <c r="A48" s="11" t="s">
        <v>175</v>
      </c>
      <c r="B48" s="12" t="s">
        <v>176</v>
      </c>
      <c r="C48" s="12" t="s">
        <v>177</v>
      </c>
      <c r="D48" s="12" t="s">
        <v>16</v>
      </c>
      <c r="E48" s="12" t="s">
        <v>178</v>
      </c>
    </row>
    <row r="49" customFormat="false" ht="15" hidden="false" customHeight="false" outlineLevel="0" collapsed="false">
      <c r="A49" s="11" t="s">
        <v>179</v>
      </c>
      <c r="B49" s="12" t="s">
        <v>180</v>
      </c>
      <c r="C49" s="12" t="s">
        <v>181</v>
      </c>
      <c r="D49" s="12" t="s">
        <v>16</v>
      </c>
      <c r="E49" s="12" t="s">
        <v>182</v>
      </c>
    </row>
    <row r="50" customFormat="false" ht="15" hidden="false" customHeight="false" outlineLevel="0" collapsed="false">
      <c r="A50" s="11" t="s">
        <v>183</v>
      </c>
      <c r="B50" s="12" t="s">
        <v>184</v>
      </c>
      <c r="C50" s="12" t="s">
        <v>185</v>
      </c>
      <c r="D50" s="12" t="s">
        <v>16</v>
      </c>
      <c r="E50" s="12"/>
    </row>
    <row r="51" customFormat="false" ht="15" hidden="false" customHeight="false" outlineLevel="0" collapsed="false">
      <c r="A51" s="11" t="s">
        <v>186</v>
      </c>
      <c r="B51" s="12" t="s">
        <v>187</v>
      </c>
      <c r="C51" s="12" t="s">
        <v>188</v>
      </c>
      <c r="D51" s="12" t="s">
        <v>16</v>
      </c>
      <c r="E51" s="12"/>
    </row>
    <row r="52" customFormat="false" ht="15" hidden="false" customHeight="false" outlineLevel="0" collapsed="false">
      <c r="A52" s="11" t="s">
        <v>189</v>
      </c>
      <c r="B52" s="12" t="s">
        <v>190</v>
      </c>
      <c r="C52" s="12" t="s">
        <v>191</v>
      </c>
      <c r="D52" s="12" t="s">
        <v>16</v>
      </c>
      <c r="E52" s="12" t="s">
        <v>192</v>
      </c>
    </row>
    <row r="53" customFormat="false" ht="15" hidden="false" customHeight="false" outlineLevel="0" collapsed="false">
      <c r="A53" s="11" t="s">
        <v>193</v>
      </c>
      <c r="B53" s="12" t="s">
        <v>194</v>
      </c>
      <c r="C53" s="12" t="s">
        <v>195</v>
      </c>
      <c r="D53" s="12" t="s">
        <v>16</v>
      </c>
      <c r="E53" s="12"/>
    </row>
    <row r="54" customFormat="false" ht="15" hidden="false" customHeight="false" outlineLevel="0" collapsed="false">
      <c r="A54" s="11" t="s">
        <v>196</v>
      </c>
      <c r="B54" s="12" t="s">
        <v>197</v>
      </c>
      <c r="C54" s="12" t="s">
        <v>198</v>
      </c>
      <c r="D54" s="12" t="s">
        <v>10</v>
      </c>
      <c r="E54" s="12"/>
    </row>
    <row r="55" customFormat="false" ht="15" hidden="false" customHeight="false" outlineLevel="0" collapsed="false">
      <c r="A55" s="11" t="s">
        <v>199</v>
      </c>
      <c r="B55" s="12" t="s">
        <v>200</v>
      </c>
      <c r="C55" s="12" t="s">
        <v>201</v>
      </c>
      <c r="D55" s="12" t="s">
        <v>10</v>
      </c>
      <c r="E55" s="12"/>
    </row>
    <row r="56" customFormat="false" ht="15" hidden="false" customHeight="false" outlineLevel="0" collapsed="false">
      <c r="A56" s="11" t="s">
        <v>202</v>
      </c>
      <c r="B56" s="12" t="s">
        <v>203</v>
      </c>
      <c r="C56" s="12" t="s">
        <v>204</v>
      </c>
      <c r="D56" s="12" t="s">
        <v>10</v>
      </c>
      <c r="E56" s="12"/>
    </row>
    <row r="57" customFormat="false" ht="15" hidden="false" customHeight="false" outlineLevel="0" collapsed="false">
      <c r="A57" s="11" t="s">
        <v>205</v>
      </c>
      <c r="B57" s="12" t="s">
        <v>206</v>
      </c>
      <c r="C57" s="12" t="s">
        <v>207</v>
      </c>
      <c r="D57" s="12" t="s">
        <v>10</v>
      </c>
      <c r="E57" s="12"/>
    </row>
    <row r="58" customFormat="false" ht="15" hidden="false" customHeight="false" outlineLevel="0" collapsed="false">
      <c r="A58" s="11" t="s">
        <v>208</v>
      </c>
      <c r="B58" s="12" t="s">
        <v>209</v>
      </c>
      <c r="C58" s="12" t="s">
        <v>210</v>
      </c>
      <c r="D58" s="12" t="s">
        <v>10</v>
      </c>
      <c r="E58" s="12"/>
    </row>
    <row r="59" customFormat="false" ht="15" hidden="false" customHeight="false" outlineLevel="0" collapsed="false">
      <c r="A59" s="11" t="s">
        <v>211</v>
      </c>
      <c r="B59" s="12" t="s">
        <v>212</v>
      </c>
      <c r="C59" s="12" t="s">
        <v>213</v>
      </c>
      <c r="D59" s="12" t="s">
        <v>214</v>
      </c>
      <c r="E59" s="12" t="s">
        <v>215</v>
      </c>
    </row>
    <row r="60" customFormat="false" ht="15" hidden="false" customHeight="false" outlineLevel="0" collapsed="false">
      <c r="A60" s="11" t="s">
        <v>216</v>
      </c>
      <c r="B60" s="12" t="s">
        <v>217</v>
      </c>
      <c r="C60" s="12" t="s">
        <v>218</v>
      </c>
      <c r="D60" s="12" t="s">
        <v>214</v>
      </c>
      <c r="E60" s="12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5" min="3" style="1" width="7"/>
    <col collapsed="false" customWidth="true" hidden="false" outlineLevel="0" max="7" min="6" style="1" width="9"/>
    <col collapsed="false" customWidth="true" hidden="false" outlineLevel="0" max="8" min="8" style="1" width="16"/>
    <col collapsed="false" customWidth="true" hidden="false" outlineLevel="0" max="9" min="9" style="1" width="8"/>
    <col collapsed="false" customWidth="true" hidden="false" outlineLevel="0" max="10" min="10" style="1" width="14"/>
    <col collapsed="false" customWidth="true" hidden="false" outlineLevel="0" max="17" min="12" style="0" width="14"/>
  </cols>
  <sheetData>
    <row r="1" customFormat="false" ht="17.25" hidden="false" customHeight="true" outlineLevel="0" collapsed="false">
      <c r="A1" s="2" t="s">
        <v>220</v>
      </c>
    </row>
    <row r="2" customFormat="false" ht="15" hidden="false" customHeight="true" outlineLevel="0" collapsed="false">
      <c r="A2" s="3" t="s">
        <v>221</v>
      </c>
    </row>
    <row r="4" customFormat="false" ht="23.25" hidden="false" customHeight="true" outlineLevel="0" collapsed="false">
      <c r="A4" s="8" t="s">
        <v>33</v>
      </c>
      <c r="B4" s="8" t="s">
        <v>36</v>
      </c>
      <c r="C4" s="8" t="s">
        <v>39</v>
      </c>
      <c r="D4" s="8" t="s">
        <v>41</v>
      </c>
      <c r="E4" s="8" t="s">
        <v>43</v>
      </c>
      <c r="F4" s="8" t="s">
        <v>47</v>
      </c>
      <c r="G4" s="8" t="s">
        <v>51</v>
      </c>
      <c r="H4" s="8" t="s">
        <v>54</v>
      </c>
      <c r="I4" s="8" t="s">
        <v>58</v>
      </c>
      <c r="J4" s="8" t="s">
        <v>222</v>
      </c>
      <c r="L4" s="13" t="s">
        <v>223</v>
      </c>
      <c r="M4" s="14" t="s">
        <v>224</v>
      </c>
      <c r="N4" s="13" t="s">
        <v>225</v>
      </c>
      <c r="O4" s="14" t="s">
        <v>226</v>
      </c>
      <c r="P4" s="14" t="s">
        <v>227</v>
      </c>
      <c r="Q4" s="14" t="s">
        <v>228</v>
      </c>
    </row>
    <row r="5" customFormat="false" ht="15" hidden="false" customHeight="true" outlineLevel="0" collapsed="false">
      <c r="A5" s="15" t="s">
        <v>229</v>
      </c>
      <c r="B5" s="15" t="s">
        <v>230</v>
      </c>
      <c r="C5" s="15" t="s">
        <v>231</v>
      </c>
      <c r="D5" s="15" t="s">
        <v>232</v>
      </c>
      <c r="E5" s="15" t="s">
        <v>233</v>
      </c>
      <c r="F5" s="16" t="n">
        <v>50</v>
      </c>
      <c r="G5" s="15" t="s">
        <v>234</v>
      </c>
      <c r="H5" s="15" t="s">
        <v>235</v>
      </c>
      <c r="I5" s="15" t="s">
        <v>234</v>
      </c>
      <c r="J5" s="15"/>
      <c r="L5" s="15" t="s">
        <v>231</v>
      </c>
      <c r="M5" s="15" t="s">
        <v>232</v>
      </c>
      <c r="N5" s="15" t="s">
        <v>233</v>
      </c>
      <c r="O5" s="15" t="s">
        <v>234</v>
      </c>
      <c r="P5" s="15" t="s">
        <v>235</v>
      </c>
      <c r="Q5" s="15" t="s">
        <v>234</v>
      </c>
    </row>
    <row r="6" customFormat="false" ht="15" hidden="false" customHeight="true" outlineLevel="0" collapsed="false">
      <c r="A6" s="15" t="s">
        <v>236</v>
      </c>
      <c r="B6" s="15" t="s">
        <v>237</v>
      </c>
      <c r="C6" s="15" t="s">
        <v>231</v>
      </c>
      <c r="D6" s="15" t="s">
        <v>232</v>
      </c>
      <c r="E6" s="15" t="s">
        <v>233</v>
      </c>
      <c r="F6" s="16" t="n">
        <v>200</v>
      </c>
      <c r="G6" s="15" t="s">
        <v>234</v>
      </c>
      <c r="H6" s="15" t="s">
        <v>235</v>
      </c>
      <c r="I6" s="15" t="s">
        <v>234</v>
      </c>
      <c r="J6" s="15"/>
      <c r="L6" s="15" t="s">
        <v>238</v>
      </c>
      <c r="M6" s="15" t="s">
        <v>239</v>
      </c>
      <c r="N6" s="15" t="s">
        <v>240</v>
      </c>
      <c r="O6" s="15" t="s">
        <v>241</v>
      </c>
      <c r="P6" s="15" t="s">
        <v>242</v>
      </c>
      <c r="Q6" s="15" t="s">
        <v>241</v>
      </c>
    </row>
    <row r="7" customFormat="false" ht="15" hidden="false" customHeight="true" outlineLevel="0" collapsed="false">
      <c r="A7" s="15" t="s">
        <v>243</v>
      </c>
      <c r="B7" s="15" t="s">
        <v>244</v>
      </c>
      <c r="C7" s="15" t="s">
        <v>231</v>
      </c>
      <c r="D7" s="15" t="s">
        <v>232</v>
      </c>
      <c r="E7" s="15" t="s">
        <v>233</v>
      </c>
      <c r="F7" s="16" t="n">
        <v>500</v>
      </c>
      <c r="G7" s="15" t="s">
        <v>234</v>
      </c>
      <c r="H7" s="15" t="s">
        <v>235</v>
      </c>
      <c r="I7" s="15" t="s">
        <v>234</v>
      </c>
      <c r="J7" s="15"/>
      <c r="L7" s="15" t="s">
        <v>245</v>
      </c>
      <c r="M7" s="15" t="s">
        <v>246</v>
      </c>
      <c r="N7" s="15" t="s">
        <v>247</v>
      </c>
      <c r="P7" s="15" t="s">
        <v>248</v>
      </c>
    </row>
    <row r="8" customFormat="false" ht="15" hidden="false" customHeight="true" outlineLevel="0" collapsed="false">
      <c r="A8" s="15" t="s">
        <v>249</v>
      </c>
      <c r="B8" s="15" t="s">
        <v>250</v>
      </c>
      <c r="C8" s="15" t="s">
        <v>231</v>
      </c>
      <c r="D8" s="15" t="s">
        <v>239</v>
      </c>
      <c r="E8" s="15" t="s">
        <v>233</v>
      </c>
      <c r="F8" s="16" t="n">
        <v>30</v>
      </c>
      <c r="G8" s="15" t="s">
        <v>234</v>
      </c>
      <c r="H8" s="15" t="s">
        <v>235</v>
      </c>
      <c r="I8" s="15" t="s">
        <v>234</v>
      </c>
      <c r="J8" s="15"/>
      <c r="L8" s="15" t="s">
        <v>251</v>
      </c>
      <c r="M8" s="15" t="s">
        <v>252</v>
      </c>
      <c r="N8" s="15" t="s">
        <v>253</v>
      </c>
      <c r="P8" s="15" t="s">
        <v>254</v>
      </c>
    </row>
    <row r="9" customFormat="false" ht="15" hidden="false" customHeight="true" outlineLevel="0" collapsed="false">
      <c r="A9" s="15" t="s">
        <v>255</v>
      </c>
      <c r="B9" s="15" t="s">
        <v>256</v>
      </c>
      <c r="C9" s="15" t="s">
        <v>231</v>
      </c>
      <c r="D9" s="15" t="s">
        <v>246</v>
      </c>
      <c r="E9" s="15" t="s">
        <v>240</v>
      </c>
      <c r="F9" s="16" t="n">
        <v>40</v>
      </c>
      <c r="G9" s="15" t="s">
        <v>234</v>
      </c>
      <c r="H9" s="15" t="s">
        <v>235</v>
      </c>
      <c r="I9" s="15" t="s">
        <v>234</v>
      </c>
      <c r="J9" s="15"/>
      <c r="L9" s="15" t="s">
        <v>257</v>
      </c>
      <c r="M9" s="15" t="s">
        <v>258</v>
      </c>
      <c r="N9" s="15" t="s">
        <v>259</v>
      </c>
      <c r="P9" s="15" t="s">
        <v>260</v>
      </c>
    </row>
    <row r="10" customFormat="false" ht="15" hidden="false" customHeight="true" outlineLevel="0" collapsed="false">
      <c r="A10" s="15" t="s">
        <v>261</v>
      </c>
      <c r="B10" s="15" t="s">
        <v>262</v>
      </c>
      <c r="C10" s="15" t="s">
        <v>231</v>
      </c>
      <c r="D10" s="15" t="s">
        <v>246</v>
      </c>
      <c r="E10" s="15" t="s">
        <v>240</v>
      </c>
      <c r="F10" s="16" t="n">
        <v>80</v>
      </c>
      <c r="G10" s="15" t="s">
        <v>234</v>
      </c>
      <c r="H10" s="15" t="s">
        <v>235</v>
      </c>
      <c r="I10" s="15" t="s">
        <v>234</v>
      </c>
      <c r="J10" s="15"/>
      <c r="L10" s="15" t="s">
        <v>263</v>
      </c>
      <c r="M10" s="15" t="s">
        <v>264</v>
      </c>
      <c r="P10" s="15" t="s">
        <v>265</v>
      </c>
    </row>
    <row r="11" customFormat="false" ht="15" hidden="false" customHeight="true" outlineLevel="0" collapsed="false">
      <c r="A11" s="15" t="s">
        <v>266</v>
      </c>
      <c r="B11" s="15" t="s">
        <v>267</v>
      </c>
      <c r="C11" s="15" t="s">
        <v>231</v>
      </c>
      <c r="D11" s="15" t="s">
        <v>252</v>
      </c>
      <c r="E11" s="15" t="s">
        <v>240</v>
      </c>
      <c r="F11" s="16" t="n">
        <v>50</v>
      </c>
      <c r="G11" s="15" t="s">
        <v>234</v>
      </c>
      <c r="H11" s="15" t="s">
        <v>235</v>
      </c>
      <c r="I11" s="15" t="s">
        <v>234</v>
      </c>
      <c r="J11" s="15"/>
      <c r="M11" s="15" t="s">
        <v>268</v>
      </c>
      <c r="P11" s="15" t="s">
        <v>269</v>
      </c>
    </row>
    <row r="12" customFormat="false" ht="15" hidden="false" customHeight="true" outlineLevel="0" collapsed="false">
      <c r="A12" s="15" t="s">
        <v>270</v>
      </c>
      <c r="B12" s="15" t="s">
        <v>271</v>
      </c>
      <c r="C12" s="15" t="s">
        <v>231</v>
      </c>
      <c r="D12" s="15" t="s">
        <v>252</v>
      </c>
      <c r="E12" s="15" t="s">
        <v>247</v>
      </c>
      <c r="F12" s="16" t="n">
        <v>20</v>
      </c>
      <c r="G12" s="15" t="s">
        <v>234</v>
      </c>
      <c r="H12" s="15" t="s">
        <v>235</v>
      </c>
      <c r="I12" s="15" t="s">
        <v>234</v>
      </c>
      <c r="J12" s="15"/>
      <c r="M12" s="15" t="s">
        <v>272</v>
      </c>
    </row>
    <row r="13" customFormat="false" ht="15" hidden="false" customHeight="true" outlineLevel="0" collapsed="false">
      <c r="A13" s="15" t="s">
        <v>273</v>
      </c>
      <c r="B13" s="15" t="s">
        <v>274</v>
      </c>
      <c r="C13" s="15" t="s">
        <v>231</v>
      </c>
      <c r="D13" s="15" t="s">
        <v>258</v>
      </c>
      <c r="E13" s="15" t="s">
        <v>259</v>
      </c>
      <c r="F13" s="16" t="n">
        <v>100</v>
      </c>
      <c r="G13" s="15" t="s">
        <v>234</v>
      </c>
      <c r="H13" s="15" t="s">
        <v>235</v>
      </c>
      <c r="I13" s="15" t="s">
        <v>234</v>
      </c>
      <c r="J13" s="15"/>
      <c r="M13" s="15" t="s">
        <v>275</v>
      </c>
    </row>
    <row r="14" customFormat="false" ht="15" hidden="false" customHeight="true" outlineLevel="0" collapsed="false">
      <c r="A14" s="15" t="s">
        <v>276</v>
      </c>
      <c r="B14" s="15" t="s">
        <v>277</v>
      </c>
      <c r="C14" s="15" t="s">
        <v>251</v>
      </c>
      <c r="D14" s="15" t="s">
        <v>264</v>
      </c>
      <c r="E14" s="15" t="s">
        <v>233</v>
      </c>
      <c r="F14" s="16" t="n">
        <v>15</v>
      </c>
      <c r="G14" s="15" t="s">
        <v>234</v>
      </c>
      <c r="H14" s="15" t="s">
        <v>235</v>
      </c>
      <c r="I14" s="15" t="s">
        <v>234</v>
      </c>
      <c r="J14" s="15"/>
      <c r="M14" s="15" t="s">
        <v>278</v>
      </c>
    </row>
    <row r="15" customFormat="false" ht="15" hidden="false" customHeight="true" outlineLevel="0" collapsed="false">
      <c r="A15" s="15" t="s">
        <v>279</v>
      </c>
      <c r="B15" s="15" t="s">
        <v>280</v>
      </c>
      <c r="C15" s="15" t="s">
        <v>251</v>
      </c>
      <c r="D15" s="15" t="s">
        <v>268</v>
      </c>
      <c r="E15" s="15" t="s">
        <v>253</v>
      </c>
      <c r="F15" s="16" t="n">
        <v>10</v>
      </c>
      <c r="G15" s="15" t="s">
        <v>234</v>
      </c>
      <c r="H15" s="15" t="s">
        <v>235</v>
      </c>
      <c r="I15" s="15" t="s">
        <v>234</v>
      </c>
      <c r="J15" s="15"/>
      <c r="M15" s="15" t="s">
        <v>281</v>
      </c>
    </row>
    <row r="16" customFormat="false" ht="15" hidden="false" customHeight="true" outlineLevel="0" collapsed="false">
      <c r="A16" s="15" t="s">
        <v>282</v>
      </c>
      <c r="B16" s="15" t="s">
        <v>283</v>
      </c>
      <c r="C16" s="15" t="s">
        <v>251</v>
      </c>
      <c r="D16" s="15" t="s">
        <v>272</v>
      </c>
      <c r="E16" s="15" t="s">
        <v>253</v>
      </c>
      <c r="F16" s="16" t="n">
        <v>5</v>
      </c>
      <c r="G16" s="15" t="s">
        <v>241</v>
      </c>
      <c r="H16" s="15" t="s">
        <v>235</v>
      </c>
      <c r="I16" s="15" t="s">
        <v>234</v>
      </c>
      <c r="J16" s="15" t="s">
        <v>284</v>
      </c>
      <c r="M16" s="15" t="s">
        <v>285</v>
      </c>
    </row>
    <row r="17" customFormat="false" ht="15" hidden="false" customHeight="true" outlineLevel="0" collapsed="false">
      <c r="A17" s="15" t="s">
        <v>286</v>
      </c>
      <c r="B17" s="15" t="s">
        <v>287</v>
      </c>
      <c r="C17" s="15" t="s">
        <v>257</v>
      </c>
      <c r="D17" s="15" t="s">
        <v>275</v>
      </c>
      <c r="E17" s="15" t="s">
        <v>240</v>
      </c>
      <c r="F17" s="16" t="n">
        <v>30</v>
      </c>
      <c r="G17" s="15" t="s">
        <v>234</v>
      </c>
      <c r="H17" s="15" t="s">
        <v>235</v>
      </c>
      <c r="I17" s="15" t="s">
        <v>234</v>
      </c>
      <c r="J17" s="15"/>
      <c r="M17" s="15" t="s">
        <v>288</v>
      </c>
    </row>
    <row r="18" customFormat="false" ht="15" hidden="false" customHeight="true" outlineLevel="0" collapsed="false">
      <c r="A18" s="15" t="s">
        <v>289</v>
      </c>
      <c r="B18" s="15" t="s">
        <v>290</v>
      </c>
      <c r="C18" s="15" t="s">
        <v>257</v>
      </c>
      <c r="D18" s="15" t="s">
        <v>278</v>
      </c>
      <c r="E18" s="15" t="s">
        <v>240</v>
      </c>
      <c r="F18" s="16" t="n">
        <v>500</v>
      </c>
      <c r="G18" s="15" t="s">
        <v>241</v>
      </c>
      <c r="H18" s="15" t="s">
        <v>235</v>
      </c>
      <c r="I18" s="15" t="s">
        <v>234</v>
      </c>
      <c r="J18" s="15" t="s">
        <v>291</v>
      </c>
      <c r="M18" s="15" t="s">
        <v>292</v>
      </c>
    </row>
    <row r="19" customFormat="false" ht="15" hidden="false" customHeight="true" outlineLevel="0" collapsed="false">
      <c r="A19" s="15" t="s">
        <v>293</v>
      </c>
      <c r="B19" s="15" t="s">
        <v>294</v>
      </c>
      <c r="C19" s="15" t="s">
        <v>263</v>
      </c>
      <c r="D19" s="15" t="s">
        <v>239</v>
      </c>
      <c r="E19" s="15" t="s">
        <v>233</v>
      </c>
      <c r="F19" s="16" t="n">
        <v>0</v>
      </c>
      <c r="G19" s="15" t="s">
        <v>234</v>
      </c>
      <c r="H19" s="15" t="s">
        <v>235</v>
      </c>
      <c r="I19" s="15" t="s">
        <v>234</v>
      </c>
      <c r="J19" s="15"/>
      <c r="M19" s="15" t="s">
        <v>295</v>
      </c>
    </row>
    <row r="20" customFormat="false" ht="15" hidden="false" customHeight="true" outlineLevel="0" collapsed="false">
      <c r="A20" s="15" t="s">
        <v>296</v>
      </c>
      <c r="B20" s="15" t="s">
        <v>297</v>
      </c>
      <c r="C20" s="15" t="s">
        <v>238</v>
      </c>
      <c r="D20" s="15" t="s">
        <v>281</v>
      </c>
      <c r="E20" s="15" t="s">
        <v>240</v>
      </c>
      <c r="F20" s="16" t="n">
        <v>5</v>
      </c>
      <c r="G20" s="15" t="s">
        <v>234</v>
      </c>
      <c r="H20" s="15" t="s">
        <v>242</v>
      </c>
      <c r="I20" s="15" t="s">
        <v>234</v>
      </c>
      <c r="J20" s="15" t="s">
        <v>298</v>
      </c>
    </row>
    <row r="21" customFormat="false" ht="15" hidden="false" customHeight="true" outlineLevel="0" collapsed="false">
      <c r="A21" s="15" t="s">
        <v>299</v>
      </c>
      <c r="B21" s="15" t="s">
        <v>300</v>
      </c>
      <c r="C21" s="15" t="s">
        <v>238</v>
      </c>
      <c r="D21" s="15" t="s">
        <v>281</v>
      </c>
      <c r="E21" s="15" t="s">
        <v>240</v>
      </c>
      <c r="F21" s="16" t="n">
        <v>5</v>
      </c>
      <c r="G21" s="15" t="s">
        <v>234</v>
      </c>
      <c r="H21" s="15" t="s">
        <v>242</v>
      </c>
      <c r="I21" s="15" t="s">
        <v>234</v>
      </c>
      <c r="J21" s="15"/>
    </row>
    <row r="22" customFormat="false" ht="15" hidden="false" customHeight="true" outlineLevel="0" collapsed="false">
      <c r="A22" s="15" t="s">
        <v>301</v>
      </c>
      <c r="B22" s="15" t="s">
        <v>302</v>
      </c>
      <c r="C22" s="15" t="s">
        <v>238</v>
      </c>
      <c r="D22" s="15" t="s">
        <v>281</v>
      </c>
      <c r="E22" s="15" t="s">
        <v>240</v>
      </c>
      <c r="F22" s="16" t="n">
        <v>8</v>
      </c>
      <c r="G22" s="15" t="s">
        <v>234</v>
      </c>
      <c r="H22" s="15" t="s">
        <v>242</v>
      </c>
      <c r="I22" s="15" t="s">
        <v>234</v>
      </c>
      <c r="J22" s="15"/>
    </row>
    <row r="23" customFormat="false" ht="15" hidden="false" customHeight="true" outlineLevel="0" collapsed="false">
      <c r="A23" s="15" t="s">
        <v>303</v>
      </c>
      <c r="B23" s="15" t="s">
        <v>304</v>
      </c>
      <c r="C23" s="15" t="s">
        <v>238</v>
      </c>
      <c r="D23" s="15" t="s">
        <v>285</v>
      </c>
      <c r="E23" s="15" t="s">
        <v>240</v>
      </c>
      <c r="F23" s="16" t="n">
        <v>3</v>
      </c>
      <c r="G23" s="15" t="s">
        <v>234</v>
      </c>
      <c r="H23" s="15" t="s">
        <v>260</v>
      </c>
      <c r="I23" s="15" t="s">
        <v>234</v>
      </c>
      <c r="J23" s="15"/>
    </row>
    <row r="24" customFormat="false" ht="15" hidden="false" customHeight="true" outlineLevel="0" collapsed="false">
      <c r="A24" s="15" t="s">
        <v>305</v>
      </c>
      <c r="B24" s="15" t="s">
        <v>306</v>
      </c>
      <c r="C24" s="15" t="s">
        <v>238</v>
      </c>
      <c r="D24" s="15" t="s">
        <v>285</v>
      </c>
      <c r="E24" s="15" t="s">
        <v>240</v>
      </c>
      <c r="F24" s="16" t="n">
        <v>4</v>
      </c>
      <c r="G24" s="15" t="s">
        <v>234</v>
      </c>
      <c r="H24" s="15" t="s">
        <v>260</v>
      </c>
      <c r="I24" s="15" t="s">
        <v>234</v>
      </c>
      <c r="J24" s="15"/>
    </row>
    <row r="25" customFormat="false" ht="15" hidden="false" customHeight="true" outlineLevel="0" collapsed="false">
      <c r="A25" s="15" t="s">
        <v>307</v>
      </c>
      <c r="B25" s="15" t="s">
        <v>308</v>
      </c>
      <c r="C25" s="15" t="s">
        <v>238</v>
      </c>
      <c r="D25" s="15" t="s">
        <v>285</v>
      </c>
      <c r="E25" s="15" t="s">
        <v>240</v>
      </c>
      <c r="F25" s="16" t="n">
        <v>6</v>
      </c>
      <c r="G25" s="15" t="s">
        <v>234</v>
      </c>
      <c r="H25" s="15" t="s">
        <v>242</v>
      </c>
      <c r="I25" s="15" t="s">
        <v>234</v>
      </c>
      <c r="J25" s="15"/>
    </row>
    <row r="26" customFormat="false" ht="15" hidden="false" customHeight="true" outlineLevel="0" collapsed="false">
      <c r="A26" s="15" t="s">
        <v>309</v>
      </c>
      <c r="B26" s="15" t="s">
        <v>310</v>
      </c>
      <c r="C26" s="15" t="s">
        <v>238</v>
      </c>
      <c r="D26" s="15" t="s">
        <v>246</v>
      </c>
      <c r="E26" s="15" t="s">
        <v>240</v>
      </c>
      <c r="F26" s="16" t="n">
        <v>4</v>
      </c>
      <c r="G26" s="15" t="s">
        <v>234</v>
      </c>
      <c r="H26" s="15" t="s">
        <v>248</v>
      </c>
      <c r="I26" s="15" t="s">
        <v>234</v>
      </c>
      <c r="J26" s="15"/>
    </row>
    <row r="27" customFormat="false" ht="15" hidden="false" customHeight="true" outlineLevel="0" collapsed="false">
      <c r="A27" s="15" t="s">
        <v>311</v>
      </c>
      <c r="B27" s="15" t="s">
        <v>312</v>
      </c>
      <c r="C27" s="15" t="s">
        <v>238</v>
      </c>
      <c r="D27" s="15" t="s">
        <v>246</v>
      </c>
      <c r="E27" s="15" t="s">
        <v>240</v>
      </c>
      <c r="F27" s="16" t="n">
        <v>5</v>
      </c>
      <c r="G27" s="15" t="s">
        <v>234</v>
      </c>
      <c r="H27" s="15" t="s">
        <v>248</v>
      </c>
      <c r="I27" s="15" t="s">
        <v>234</v>
      </c>
      <c r="J27" s="15"/>
    </row>
    <row r="28" customFormat="false" ht="15" hidden="false" customHeight="true" outlineLevel="0" collapsed="false">
      <c r="A28" s="15" t="s">
        <v>313</v>
      </c>
      <c r="B28" s="15" t="s">
        <v>314</v>
      </c>
      <c r="C28" s="15" t="s">
        <v>238</v>
      </c>
      <c r="D28" s="15" t="s">
        <v>288</v>
      </c>
      <c r="E28" s="15" t="s">
        <v>240</v>
      </c>
      <c r="F28" s="16" t="n">
        <v>5</v>
      </c>
      <c r="G28" s="15" t="s">
        <v>234</v>
      </c>
      <c r="H28" s="15" t="s">
        <v>254</v>
      </c>
      <c r="I28" s="15" t="s">
        <v>234</v>
      </c>
      <c r="J28" s="15"/>
    </row>
    <row r="29" customFormat="false" ht="15" hidden="false" customHeight="true" outlineLevel="0" collapsed="false">
      <c r="A29" s="15" t="s">
        <v>315</v>
      </c>
      <c r="B29" s="15" t="s">
        <v>316</v>
      </c>
      <c r="C29" s="15" t="s">
        <v>238</v>
      </c>
      <c r="D29" s="15" t="s">
        <v>288</v>
      </c>
      <c r="E29" s="15" t="s">
        <v>240</v>
      </c>
      <c r="F29" s="16" t="n">
        <v>8</v>
      </c>
      <c r="G29" s="15" t="s">
        <v>234</v>
      </c>
      <c r="H29" s="15" t="s">
        <v>254</v>
      </c>
      <c r="I29" s="15" t="s">
        <v>234</v>
      </c>
      <c r="J29" s="15"/>
    </row>
    <row r="30" customFormat="false" ht="15" hidden="false" customHeight="true" outlineLevel="0" collapsed="false">
      <c r="A30" s="15" t="s">
        <v>317</v>
      </c>
      <c r="B30" s="15" t="s">
        <v>318</v>
      </c>
      <c r="C30" s="15" t="s">
        <v>245</v>
      </c>
      <c r="D30" s="15" t="s">
        <v>292</v>
      </c>
      <c r="E30" s="15" t="s">
        <v>240</v>
      </c>
      <c r="F30" s="16" t="n">
        <v>0</v>
      </c>
      <c r="G30" s="15" t="s">
        <v>234</v>
      </c>
      <c r="H30" s="15" t="s">
        <v>260</v>
      </c>
      <c r="I30" s="15" t="s">
        <v>234</v>
      </c>
      <c r="J30" s="15" t="s">
        <v>319</v>
      </c>
    </row>
    <row r="31" customFormat="false" ht="15" hidden="false" customHeight="true" outlineLevel="0" collapsed="false">
      <c r="A31" s="15" t="s">
        <v>320</v>
      </c>
      <c r="B31" s="15" t="s">
        <v>321</v>
      </c>
      <c r="C31" s="15" t="s">
        <v>245</v>
      </c>
      <c r="D31" s="15" t="s">
        <v>295</v>
      </c>
      <c r="E31" s="15" t="s">
        <v>240</v>
      </c>
      <c r="F31" s="16" t="n">
        <v>0</v>
      </c>
      <c r="G31" s="15" t="s">
        <v>234</v>
      </c>
      <c r="H31" s="15" t="s">
        <v>260</v>
      </c>
      <c r="I31" s="15" t="s">
        <v>234</v>
      </c>
      <c r="J31" s="15" t="s">
        <v>322</v>
      </c>
    </row>
    <row r="32" customFormat="false" ht="15" hidden="false" customHeight="true" outlineLevel="0" collapsed="false">
      <c r="A32" s="15" t="s">
        <v>323</v>
      </c>
      <c r="B32" s="15" t="s">
        <v>324</v>
      </c>
      <c r="C32" s="15" t="s">
        <v>245</v>
      </c>
      <c r="D32" s="15" t="s">
        <v>285</v>
      </c>
      <c r="E32" s="15" t="s">
        <v>240</v>
      </c>
      <c r="F32" s="16" t="n">
        <v>0</v>
      </c>
      <c r="G32" s="15" t="s">
        <v>234</v>
      </c>
      <c r="H32" s="15" t="s">
        <v>260</v>
      </c>
      <c r="I32" s="15" t="s">
        <v>234</v>
      </c>
      <c r="J32" s="15" t="s">
        <v>325</v>
      </c>
    </row>
    <row r="33" customFormat="false" ht="15" hidden="false" customHeight="true" outlineLevel="0" collapsed="false">
      <c r="A33" s="15"/>
      <c r="B33" s="15"/>
      <c r="C33" s="15"/>
      <c r="D33" s="15"/>
      <c r="E33" s="15"/>
      <c r="F33" s="16"/>
      <c r="G33" s="15"/>
      <c r="H33" s="15"/>
      <c r="I33" s="15"/>
      <c r="J33" s="15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6"/>
      <c r="G34" s="15"/>
      <c r="H34" s="15"/>
      <c r="I34" s="15"/>
      <c r="J34" s="15"/>
    </row>
    <row r="35" customFormat="false" ht="15" hidden="false" customHeight="true" outlineLevel="0" collapsed="false">
      <c r="A35" s="15"/>
      <c r="B35" s="15"/>
      <c r="C35" s="15"/>
      <c r="D35" s="15"/>
      <c r="E35" s="15"/>
      <c r="F35" s="16"/>
      <c r="G35" s="15"/>
      <c r="H35" s="15"/>
      <c r="I35" s="15"/>
      <c r="J35" s="15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6"/>
      <c r="G36" s="15"/>
      <c r="H36" s="15"/>
      <c r="I36" s="15"/>
      <c r="J36" s="15"/>
    </row>
    <row r="37" customFormat="false" ht="15" hidden="false" customHeight="true" outlineLevel="0" collapsed="false">
      <c r="A37" s="15"/>
      <c r="B37" s="15"/>
      <c r="C37" s="15"/>
      <c r="D37" s="15"/>
      <c r="E37" s="15"/>
      <c r="F37" s="16"/>
      <c r="G37" s="15"/>
      <c r="H37" s="15"/>
      <c r="I37" s="15"/>
      <c r="J37" s="15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6"/>
      <c r="G38" s="15"/>
      <c r="H38" s="15"/>
      <c r="I38" s="15"/>
      <c r="J38" s="15"/>
    </row>
    <row r="39" customFormat="false" ht="15" hidden="false" customHeight="true" outlineLevel="0" collapsed="false">
      <c r="A39" s="15"/>
      <c r="B39" s="15"/>
      <c r="C39" s="15"/>
      <c r="D39" s="15"/>
      <c r="E39" s="15"/>
      <c r="F39" s="16"/>
      <c r="G39" s="15"/>
      <c r="H39" s="15"/>
      <c r="I39" s="15"/>
      <c r="J39" s="15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6"/>
      <c r="G40" s="15"/>
      <c r="H40" s="15"/>
      <c r="I40" s="15"/>
      <c r="J40" s="15"/>
    </row>
    <row r="41" customFormat="false" ht="15" hidden="false" customHeight="true" outlineLevel="0" collapsed="false">
      <c r="A41" s="15"/>
      <c r="B41" s="15"/>
      <c r="C41" s="15"/>
      <c r="D41" s="15"/>
      <c r="E41" s="15"/>
      <c r="F41" s="16"/>
      <c r="G41" s="15"/>
      <c r="H41" s="15"/>
      <c r="I41" s="15"/>
      <c r="J41" s="15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6"/>
      <c r="G42" s="15"/>
      <c r="H42" s="15"/>
      <c r="I42" s="15"/>
      <c r="J42" s="15"/>
    </row>
    <row r="43" customFormat="false" ht="15" hidden="false" customHeight="true" outlineLevel="0" collapsed="false">
      <c r="A43" s="15"/>
      <c r="B43" s="15"/>
      <c r="C43" s="15"/>
      <c r="D43" s="15"/>
      <c r="E43" s="15"/>
      <c r="F43" s="16"/>
      <c r="G43" s="15"/>
      <c r="H43" s="15"/>
      <c r="I43" s="15"/>
      <c r="J43" s="15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6"/>
      <c r="G44" s="15"/>
      <c r="H44" s="15"/>
      <c r="I44" s="15"/>
      <c r="J44" s="15"/>
    </row>
    <row r="45" customFormat="false" ht="15" hidden="false" customHeight="true" outlineLevel="0" collapsed="false">
      <c r="A45" s="15"/>
      <c r="B45" s="15"/>
      <c r="C45" s="15"/>
      <c r="D45" s="15"/>
      <c r="E45" s="15"/>
      <c r="F45" s="16"/>
      <c r="G45" s="15"/>
      <c r="H45" s="15"/>
      <c r="I45" s="15"/>
      <c r="J45" s="15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16"/>
      <c r="G46" s="15"/>
      <c r="H46" s="15"/>
      <c r="I46" s="15"/>
      <c r="J46" s="15"/>
    </row>
    <row r="47" customFormat="false" ht="15" hidden="false" customHeight="true" outlineLevel="0" collapsed="false">
      <c r="A47" s="15"/>
      <c r="B47" s="15"/>
      <c r="C47" s="15"/>
      <c r="D47" s="15"/>
      <c r="E47" s="15"/>
      <c r="F47" s="16"/>
      <c r="G47" s="15"/>
      <c r="H47" s="15"/>
      <c r="I47" s="15"/>
      <c r="J47" s="15"/>
    </row>
  </sheetData>
  <autoFilter ref="A4:J47"/>
  <dataValidations count="7">
    <dataValidation allowBlank="true" error="Yalnız siyahıdan seçin" errorStyle="stop" errorTitle="Yanlış dəyər" operator="between" prompt="Siyahıdan seçin" promptTitle="Seçim" showDropDown="false" showErrorMessage="true" showInputMessage="true" sqref="C5:C50" type="list">
      <formula1>$L$5:$L$10</formula1>
      <formula2>0</formula2>
    </dataValidation>
    <dataValidation allowBlank="true" error="Yalnız siyahıdan seçin" errorStyle="stop" errorTitle="Yanlış dəyər" operator="between" prompt="Siyahıdan seçin" promptTitle="Seçim" showDropDown="false" showErrorMessage="true" showInputMessage="true" sqref="D5:D50" type="list">
      <formula1>$M$5:$M$19</formula1>
      <formula2>0</formula2>
    </dataValidation>
    <dataValidation allowBlank="true" error="Yalnız siyahıdan seçin" errorStyle="stop" errorTitle="Yanlış dəyər" operator="between" prompt="Siyahıdan seçin" promptTitle="Seçim" showDropDown="false" showErrorMessage="true" showInputMessage="true" sqref="E5:E50" type="list">
      <formula1>$N$5:$N$9</formula1>
      <formula2>0</formula2>
    </dataValidation>
    <dataValidation allowBlank="true" error="Yalnız siyahıdan seçin" errorStyle="stop" errorTitle="Yanlış dəyər" operator="between" prompt="Siyahıdan seçin" promptTitle="Seçim" showDropDown="false" showErrorMessage="true" showInputMessage="true" sqref="G5:G50" type="list">
      <formula1>$O$5:$O$6</formula1>
      <formula2>0</formula2>
    </dataValidation>
    <dataValidation allowBlank="true" error="Yalnız siyahıdan seçin" errorStyle="stop" errorTitle="Yanlış dəyər" operator="between" prompt="Siyahıdan seçin" promptTitle="Seçim" showDropDown="false" showErrorMessage="true" showInputMessage="true" sqref="H5:H50" type="list">
      <formula1>$P$5:$P$11</formula1>
      <formula2>0</formula2>
    </dataValidation>
    <dataValidation allowBlank="true" error="Yalnız siyahıdan seçin" errorStyle="stop" errorTitle="Yanlış dəyər" operator="between" prompt="Siyahıdan seçin" promptTitle="Seçim" showDropDown="false" showErrorMessage="true" showInputMessage="true" sqref="I5:I50" type="list">
      <formula1>$Q$5:$Q$6</formula1>
      <formula2>0</formula2>
    </dataValidation>
    <dataValidation allowBlank="true" error="0 və ya müsbət tam ədəd yazın" errorStyle="stop" operator="greaterThanOrEqual" showDropDown="false" showErrorMessage="true" showInputMessage="false" sqref="F5:F5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9"/>
    <col collapsed="false" customWidth="true" hidden="false" outlineLevel="0" max="8" min="8" style="1" width="7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2"/>
  </cols>
  <sheetData>
    <row r="1" customFormat="false" ht="17.25" hidden="false" customHeight="true" outlineLevel="0" collapsed="false">
      <c r="A1" s="2" t="s">
        <v>326</v>
      </c>
    </row>
    <row r="3" customFormat="false" ht="15" hidden="false" customHeight="true" outlineLevel="0" collapsed="false">
      <c r="A3" s="8" t="s">
        <v>61</v>
      </c>
      <c r="B3" s="8" t="s">
        <v>64</v>
      </c>
      <c r="C3" s="8" t="s">
        <v>67</v>
      </c>
      <c r="D3" s="8" t="s">
        <v>73</v>
      </c>
      <c r="E3" s="8" t="s">
        <v>70</v>
      </c>
      <c r="F3" s="8" t="s">
        <v>327</v>
      </c>
      <c r="G3" s="8" t="s">
        <v>76</v>
      </c>
      <c r="H3" s="8" t="s">
        <v>43</v>
      </c>
      <c r="I3" s="8" t="s">
        <v>80</v>
      </c>
      <c r="J3" s="8" t="s">
        <v>84</v>
      </c>
      <c r="K3" s="8" t="s">
        <v>54</v>
      </c>
      <c r="L3" s="8" t="s">
        <v>222</v>
      </c>
    </row>
    <row r="4" customFormat="false" ht="15" hidden="false" customHeight="true" outlineLevel="0" collapsed="false">
      <c r="A4" s="15" t="s">
        <v>317</v>
      </c>
      <c r="B4" s="15" t="s">
        <v>317</v>
      </c>
      <c r="C4" s="15" t="s">
        <v>317</v>
      </c>
      <c r="D4" s="16" t="n">
        <v>0</v>
      </c>
      <c r="E4" s="15" t="s">
        <v>296</v>
      </c>
      <c r="F4" s="15" t="s">
        <v>328</v>
      </c>
      <c r="G4" s="17" t="n">
        <v>1</v>
      </c>
      <c r="H4" s="15" t="s">
        <v>240</v>
      </c>
      <c r="I4" s="18" t="n">
        <v>0.02</v>
      </c>
      <c r="J4" s="15" t="s">
        <v>329</v>
      </c>
      <c r="K4" s="15" t="s">
        <v>242</v>
      </c>
      <c r="L4" s="15"/>
    </row>
    <row r="5" customFormat="false" ht="15" hidden="false" customHeight="true" outlineLevel="0" collapsed="false">
      <c r="A5" s="15" t="s">
        <v>317</v>
      </c>
      <c r="B5" s="15" t="s">
        <v>317</v>
      </c>
      <c r="C5" s="15" t="s">
        <v>317</v>
      </c>
      <c r="D5" s="16" t="n">
        <v>0</v>
      </c>
      <c r="E5" s="15" t="s">
        <v>309</v>
      </c>
      <c r="F5" s="15" t="s">
        <v>330</v>
      </c>
      <c r="G5" s="17" t="n">
        <v>1</v>
      </c>
      <c r="H5" s="15" t="s">
        <v>240</v>
      </c>
      <c r="I5" s="18" t="n">
        <v>0.01</v>
      </c>
      <c r="J5" s="15" t="s">
        <v>329</v>
      </c>
      <c r="K5" s="15" t="s">
        <v>248</v>
      </c>
      <c r="L5" s="15"/>
    </row>
    <row r="6" customFormat="false" ht="15" hidden="false" customHeight="true" outlineLevel="0" collapsed="false">
      <c r="A6" s="15" t="s">
        <v>317</v>
      </c>
      <c r="B6" s="15" t="s">
        <v>317</v>
      </c>
      <c r="C6" s="15" t="s">
        <v>317</v>
      </c>
      <c r="D6" s="16" t="n">
        <v>0</v>
      </c>
      <c r="E6" s="15" t="s">
        <v>313</v>
      </c>
      <c r="F6" s="15" t="s">
        <v>331</v>
      </c>
      <c r="G6" s="17" t="n">
        <v>1</v>
      </c>
      <c r="H6" s="15" t="s">
        <v>240</v>
      </c>
      <c r="I6" s="18" t="n">
        <v>0.02</v>
      </c>
      <c r="J6" s="15" t="s">
        <v>329</v>
      </c>
      <c r="K6" s="15" t="s">
        <v>254</v>
      </c>
      <c r="L6" s="15"/>
    </row>
    <row r="7" customFormat="false" ht="15" hidden="false" customHeight="true" outlineLevel="0" collapsed="false">
      <c r="A7" s="15" t="s">
        <v>317</v>
      </c>
      <c r="B7" s="15" t="s">
        <v>317</v>
      </c>
      <c r="C7" s="15" t="s">
        <v>317</v>
      </c>
      <c r="D7" s="16" t="n">
        <v>0</v>
      </c>
      <c r="E7" s="15" t="s">
        <v>303</v>
      </c>
      <c r="F7" s="15" t="s">
        <v>332</v>
      </c>
      <c r="G7" s="17" t="n">
        <v>1</v>
      </c>
      <c r="H7" s="15" t="s">
        <v>240</v>
      </c>
      <c r="I7" s="18" t="n">
        <v>0.02</v>
      </c>
      <c r="J7" s="15" t="s">
        <v>329</v>
      </c>
      <c r="K7" s="15" t="s">
        <v>260</v>
      </c>
      <c r="L7" s="15"/>
    </row>
    <row r="8" customFormat="false" ht="15" hidden="false" customHeight="true" outlineLevel="0" collapsed="false">
      <c r="A8" s="15" t="s">
        <v>317</v>
      </c>
      <c r="B8" s="15" t="s">
        <v>317</v>
      </c>
      <c r="C8" s="15" t="s">
        <v>317</v>
      </c>
      <c r="D8" s="16" t="n">
        <v>0</v>
      </c>
      <c r="E8" s="15" t="s">
        <v>273</v>
      </c>
      <c r="F8" s="15" t="s">
        <v>333</v>
      </c>
      <c r="G8" s="17" t="n">
        <v>6</v>
      </c>
      <c r="H8" s="15" t="s">
        <v>259</v>
      </c>
      <c r="I8" s="18" t="n">
        <v>0.05</v>
      </c>
      <c r="J8" s="15" t="s">
        <v>334</v>
      </c>
      <c r="K8" s="15" t="s">
        <v>235</v>
      </c>
      <c r="L8" s="15"/>
    </row>
    <row r="9" customFormat="false" ht="15" hidden="false" customHeight="true" outlineLevel="0" collapsed="false">
      <c r="A9" s="15" t="s">
        <v>317</v>
      </c>
      <c r="B9" s="15" t="s">
        <v>335</v>
      </c>
      <c r="C9" s="15" t="s">
        <v>296</v>
      </c>
      <c r="D9" s="16" t="n">
        <v>1</v>
      </c>
      <c r="E9" s="15" t="s">
        <v>299</v>
      </c>
      <c r="F9" s="15" t="s">
        <v>336</v>
      </c>
      <c r="G9" s="17" t="n">
        <v>1</v>
      </c>
      <c r="H9" s="15" t="s">
        <v>240</v>
      </c>
      <c r="I9" s="18" t="n">
        <v>0.02</v>
      </c>
      <c r="J9" s="15" t="s">
        <v>329</v>
      </c>
      <c r="K9" s="15" t="s">
        <v>242</v>
      </c>
      <c r="L9" s="15"/>
    </row>
    <row r="10" customFormat="false" ht="15" hidden="false" customHeight="true" outlineLevel="0" collapsed="false">
      <c r="A10" s="15" t="s">
        <v>317</v>
      </c>
      <c r="B10" s="15" t="s">
        <v>337</v>
      </c>
      <c r="C10" s="15" t="s">
        <v>299</v>
      </c>
      <c r="D10" s="16" t="n">
        <v>2</v>
      </c>
      <c r="E10" s="15" t="s">
        <v>301</v>
      </c>
      <c r="F10" s="15" t="s">
        <v>338</v>
      </c>
      <c r="G10" s="17" t="n">
        <v>2</v>
      </c>
      <c r="H10" s="15" t="s">
        <v>240</v>
      </c>
      <c r="I10" s="18" t="n">
        <v>0.03</v>
      </c>
      <c r="J10" s="15" t="s">
        <v>329</v>
      </c>
      <c r="K10" s="15" t="s">
        <v>242</v>
      </c>
      <c r="L10" s="15"/>
    </row>
    <row r="11" customFormat="false" ht="15" hidden="false" customHeight="true" outlineLevel="0" collapsed="false">
      <c r="A11" s="15" t="s">
        <v>317</v>
      </c>
      <c r="B11" s="15" t="s">
        <v>339</v>
      </c>
      <c r="C11" s="15" t="s">
        <v>301</v>
      </c>
      <c r="D11" s="16" t="n">
        <v>3</v>
      </c>
      <c r="E11" s="15" t="s">
        <v>229</v>
      </c>
      <c r="F11" s="15" t="s">
        <v>340</v>
      </c>
      <c r="G11" s="17" t="n">
        <v>1.2</v>
      </c>
      <c r="H11" s="15" t="s">
        <v>233</v>
      </c>
      <c r="I11" s="18" t="n">
        <v>0.08</v>
      </c>
      <c r="J11" s="15" t="s">
        <v>334</v>
      </c>
      <c r="K11" s="15" t="s">
        <v>235</v>
      </c>
      <c r="L11" s="15"/>
    </row>
    <row r="12" customFormat="false" ht="15" hidden="false" customHeight="true" outlineLevel="0" collapsed="false">
      <c r="A12" s="15" t="s">
        <v>317</v>
      </c>
      <c r="B12" s="15" t="s">
        <v>341</v>
      </c>
      <c r="C12" s="15" t="s">
        <v>229</v>
      </c>
      <c r="D12" s="16" t="n">
        <v>4</v>
      </c>
      <c r="E12" s="15" t="s">
        <v>236</v>
      </c>
      <c r="F12" s="15" t="s">
        <v>342</v>
      </c>
      <c r="G12" s="17" t="n">
        <v>1.3</v>
      </c>
      <c r="H12" s="15" t="s">
        <v>233</v>
      </c>
      <c r="I12" s="18" t="n">
        <v>0.03</v>
      </c>
      <c r="J12" s="15" t="s">
        <v>334</v>
      </c>
      <c r="K12" s="15" t="s">
        <v>235</v>
      </c>
      <c r="L12" s="15"/>
    </row>
    <row r="13" customFormat="false" ht="15" hidden="false" customHeight="true" outlineLevel="0" collapsed="false">
      <c r="A13" s="15" t="s">
        <v>317</v>
      </c>
      <c r="B13" s="15" t="s">
        <v>343</v>
      </c>
      <c r="C13" s="15" t="s">
        <v>236</v>
      </c>
      <c r="D13" s="16" t="n">
        <v>5</v>
      </c>
      <c r="E13" s="15" t="s">
        <v>243</v>
      </c>
      <c r="F13" s="15" t="s">
        <v>344</v>
      </c>
      <c r="G13" s="17" t="n">
        <v>1.35</v>
      </c>
      <c r="H13" s="15" t="s">
        <v>233</v>
      </c>
      <c r="I13" s="18" t="n">
        <v>0.02</v>
      </c>
      <c r="J13" s="15" t="s">
        <v>334</v>
      </c>
      <c r="K13" s="15" t="s">
        <v>235</v>
      </c>
      <c r="L13" s="15"/>
    </row>
    <row r="14" customFormat="false" ht="15" hidden="false" customHeight="true" outlineLevel="0" collapsed="false">
      <c r="A14" s="15" t="s">
        <v>317</v>
      </c>
      <c r="B14" s="15" t="s">
        <v>345</v>
      </c>
      <c r="C14" s="15" t="s">
        <v>307</v>
      </c>
      <c r="D14" s="16" t="n">
        <v>3</v>
      </c>
      <c r="E14" s="15" t="s">
        <v>249</v>
      </c>
      <c r="F14" s="15" t="s">
        <v>346</v>
      </c>
      <c r="G14" s="17" t="n">
        <v>0.35</v>
      </c>
      <c r="H14" s="15" t="s">
        <v>233</v>
      </c>
      <c r="I14" s="18" t="n">
        <v>0.06</v>
      </c>
      <c r="J14" s="15" t="s">
        <v>334</v>
      </c>
      <c r="K14" s="15" t="s">
        <v>235</v>
      </c>
      <c r="L14" s="15"/>
    </row>
    <row r="15" customFormat="false" ht="15" hidden="false" customHeight="true" outlineLevel="0" collapsed="false">
      <c r="A15" s="15" t="s">
        <v>317</v>
      </c>
      <c r="B15" s="15" t="s">
        <v>345</v>
      </c>
      <c r="C15" s="15" t="s">
        <v>307</v>
      </c>
      <c r="D15" s="16" t="n">
        <v>3</v>
      </c>
      <c r="E15" s="15" t="s">
        <v>293</v>
      </c>
      <c r="F15" s="15" t="s">
        <v>347</v>
      </c>
      <c r="G15" s="17" t="n">
        <v>-0.03</v>
      </c>
      <c r="H15" s="15" t="s">
        <v>233</v>
      </c>
      <c r="I15" s="18" t="n">
        <v>0</v>
      </c>
      <c r="J15" s="15" t="s">
        <v>348</v>
      </c>
      <c r="K15" s="15" t="s">
        <v>235</v>
      </c>
      <c r="L15" s="15" t="s">
        <v>349</v>
      </c>
    </row>
    <row r="16" customFormat="false" ht="15" hidden="false" customHeight="true" outlineLevel="0" collapsed="false">
      <c r="A16" s="15" t="s">
        <v>320</v>
      </c>
      <c r="B16" s="15" t="s">
        <v>320</v>
      </c>
      <c r="C16" s="15" t="s">
        <v>320</v>
      </c>
      <c r="D16" s="16" t="n">
        <v>0</v>
      </c>
      <c r="E16" s="15" t="s">
        <v>296</v>
      </c>
      <c r="F16" s="15" t="s">
        <v>350</v>
      </c>
      <c r="G16" s="17" t="n">
        <v>1</v>
      </c>
      <c r="H16" s="15" t="s">
        <v>240</v>
      </c>
      <c r="I16" s="18" t="n">
        <v>0.02</v>
      </c>
      <c r="J16" s="15" t="s">
        <v>329</v>
      </c>
      <c r="K16" s="15" t="s">
        <v>242</v>
      </c>
      <c r="L16" s="15"/>
    </row>
    <row r="17" customFormat="false" ht="15" hidden="false" customHeight="true" outlineLevel="0" collapsed="false">
      <c r="A17" s="15" t="s">
        <v>320</v>
      </c>
      <c r="B17" s="15" t="s">
        <v>320</v>
      </c>
      <c r="C17" s="15" t="s">
        <v>320</v>
      </c>
      <c r="D17" s="16" t="n">
        <v>0</v>
      </c>
      <c r="E17" s="15" t="s">
        <v>303</v>
      </c>
      <c r="F17" s="15" t="s">
        <v>351</v>
      </c>
      <c r="G17" s="17" t="n">
        <v>1</v>
      </c>
      <c r="H17" s="15" t="s">
        <v>240</v>
      </c>
      <c r="I17" s="18" t="n">
        <v>0.02</v>
      </c>
      <c r="J17" s="15" t="s">
        <v>329</v>
      </c>
      <c r="K17" s="15" t="s">
        <v>260</v>
      </c>
      <c r="L17" s="15"/>
    </row>
    <row r="18" customFormat="false" ht="15" hidden="false" customHeight="true" outlineLevel="0" collapsed="false">
      <c r="A18" s="15" t="s">
        <v>320</v>
      </c>
      <c r="B18" s="15" t="s">
        <v>320</v>
      </c>
      <c r="C18" s="15" t="s">
        <v>320</v>
      </c>
      <c r="D18" s="16" t="n">
        <v>0</v>
      </c>
      <c r="E18" s="15" t="s">
        <v>309</v>
      </c>
      <c r="F18" s="15" t="s">
        <v>352</v>
      </c>
      <c r="G18" s="17" t="n">
        <v>1</v>
      </c>
      <c r="H18" s="15" t="s">
        <v>240</v>
      </c>
      <c r="I18" s="18" t="n">
        <v>0.01</v>
      </c>
      <c r="J18" s="15" t="s">
        <v>329</v>
      </c>
      <c r="K18" s="15" t="s">
        <v>248</v>
      </c>
      <c r="L18" s="15"/>
    </row>
    <row r="19" customFormat="false" ht="15" hidden="false" customHeight="true" outlineLevel="0" collapsed="false">
      <c r="A19" s="15" t="s">
        <v>323</v>
      </c>
      <c r="B19" s="15" t="s">
        <v>323</v>
      </c>
      <c r="C19" s="15" t="s">
        <v>323</v>
      </c>
      <c r="D19" s="16" t="n">
        <v>0</v>
      </c>
      <c r="E19" s="15" t="s">
        <v>296</v>
      </c>
      <c r="F19" s="15" t="s">
        <v>350</v>
      </c>
      <c r="G19" s="17" t="n">
        <v>1</v>
      </c>
      <c r="H19" s="15" t="s">
        <v>240</v>
      </c>
      <c r="I19" s="18" t="n">
        <v>0.02</v>
      </c>
      <c r="J19" s="15" t="s">
        <v>329</v>
      </c>
      <c r="K19" s="15" t="s">
        <v>242</v>
      </c>
      <c r="L19" s="15"/>
    </row>
    <row r="20" customFormat="false" ht="15" hidden="false" customHeight="true" outlineLevel="0" collapsed="false">
      <c r="A20" s="15" t="s">
        <v>323</v>
      </c>
      <c r="B20" s="15" t="s">
        <v>323</v>
      </c>
      <c r="C20" s="15" t="s">
        <v>323</v>
      </c>
      <c r="D20" s="16" t="n">
        <v>0</v>
      </c>
      <c r="E20" s="15" t="s">
        <v>303</v>
      </c>
      <c r="F20" s="15" t="s">
        <v>353</v>
      </c>
      <c r="G20" s="17" t="n">
        <v>2</v>
      </c>
      <c r="H20" s="15" t="s">
        <v>240</v>
      </c>
      <c r="I20" s="18" t="n">
        <v>0.02</v>
      </c>
      <c r="J20" s="15" t="s">
        <v>329</v>
      </c>
      <c r="K20" s="15" t="s">
        <v>260</v>
      </c>
      <c r="L20" s="15"/>
    </row>
    <row r="21" customFormat="false" ht="15" hidden="false" customHeight="true" outlineLevel="0" collapsed="false">
      <c r="A21" s="15" t="s">
        <v>323</v>
      </c>
      <c r="B21" s="15" t="s">
        <v>323</v>
      </c>
      <c r="C21" s="15" t="s">
        <v>323</v>
      </c>
      <c r="D21" s="16" t="n">
        <v>0</v>
      </c>
      <c r="E21" s="15" t="s">
        <v>313</v>
      </c>
      <c r="F21" s="15" t="s">
        <v>331</v>
      </c>
      <c r="G21" s="17" t="n">
        <v>1</v>
      </c>
      <c r="H21" s="15" t="s">
        <v>240</v>
      </c>
      <c r="I21" s="18" t="n">
        <v>0.02</v>
      </c>
      <c r="J21" s="15" t="s">
        <v>329</v>
      </c>
      <c r="K21" s="15" t="s">
        <v>254</v>
      </c>
      <c r="L21" s="15"/>
    </row>
    <row r="22" customFormat="false" ht="15" hidden="false" customHeight="true" outlineLevel="0" collapsed="false">
      <c r="A22" s="15"/>
      <c r="B22" s="15"/>
      <c r="C22" s="15"/>
      <c r="D22" s="16"/>
      <c r="E22" s="15"/>
      <c r="F22" s="15"/>
      <c r="G22" s="17"/>
      <c r="H22" s="15"/>
      <c r="I22" s="18"/>
      <c r="J22" s="15"/>
      <c r="K22" s="15"/>
      <c r="L22" s="15"/>
    </row>
    <row r="23" customFormat="false" ht="15" hidden="false" customHeight="true" outlineLevel="0" collapsed="false">
      <c r="A23" s="15"/>
      <c r="B23" s="15"/>
      <c r="C23" s="15"/>
      <c r="D23" s="16"/>
      <c r="E23" s="15"/>
      <c r="F23" s="15"/>
      <c r="G23" s="17"/>
      <c r="H23" s="15"/>
      <c r="I23" s="18"/>
      <c r="J23" s="15"/>
      <c r="K23" s="15"/>
      <c r="L23" s="15"/>
    </row>
    <row r="24" customFormat="false" ht="15" hidden="false" customHeight="true" outlineLevel="0" collapsed="false">
      <c r="A24" s="15"/>
      <c r="B24" s="15"/>
      <c r="C24" s="15"/>
      <c r="D24" s="16"/>
      <c r="E24" s="15"/>
      <c r="F24" s="15"/>
      <c r="G24" s="17"/>
      <c r="H24" s="15"/>
      <c r="I24" s="18"/>
      <c r="J24" s="15"/>
      <c r="K24" s="15"/>
      <c r="L24" s="15"/>
    </row>
    <row r="25" customFormat="false" ht="15" hidden="false" customHeight="true" outlineLevel="0" collapsed="false">
      <c r="A25" s="15"/>
      <c r="B25" s="15"/>
      <c r="C25" s="15"/>
      <c r="D25" s="16"/>
      <c r="E25" s="15"/>
      <c r="F25" s="15"/>
      <c r="G25" s="17"/>
      <c r="H25" s="15"/>
      <c r="I25" s="18"/>
      <c r="J25" s="15"/>
      <c r="K25" s="15"/>
      <c r="L25" s="15"/>
    </row>
    <row r="26" customFormat="false" ht="15" hidden="false" customHeight="true" outlineLevel="0" collapsed="false">
      <c r="A26" s="15"/>
      <c r="B26" s="15"/>
      <c r="C26" s="15"/>
      <c r="D26" s="16"/>
      <c r="E26" s="15"/>
      <c r="F26" s="15"/>
      <c r="G26" s="17"/>
      <c r="H26" s="15"/>
      <c r="I26" s="18"/>
      <c r="J26" s="15"/>
      <c r="K26" s="15"/>
      <c r="L26" s="15"/>
    </row>
    <row r="27" customFormat="false" ht="15" hidden="false" customHeight="true" outlineLevel="0" collapsed="false">
      <c r="A27" s="15"/>
      <c r="B27" s="15"/>
      <c r="C27" s="15"/>
      <c r="D27" s="16"/>
      <c r="E27" s="15"/>
      <c r="F27" s="15"/>
      <c r="G27" s="17"/>
      <c r="H27" s="15"/>
      <c r="I27" s="18"/>
      <c r="J27" s="15"/>
      <c r="K27" s="15"/>
      <c r="L27" s="15"/>
    </row>
    <row r="28" customFormat="false" ht="15" hidden="false" customHeight="true" outlineLevel="0" collapsed="false">
      <c r="A28" s="15"/>
      <c r="B28" s="15"/>
      <c r="C28" s="15"/>
      <c r="D28" s="16"/>
      <c r="E28" s="15"/>
      <c r="F28" s="15"/>
      <c r="G28" s="17"/>
      <c r="H28" s="15"/>
      <c r="I28" s="18"/>
      <c r="J28" s="15"/>
      <c r="K28" s="15"/>
      <c r="L28" s="15"/>
    </row>
    <row r="29" customFormat="false" ht="15" hidden="false" customHeight="true" outlineLevel="0" collapsed="false">
      <c r="A29" s="15"/>
      <c r="B29" s="15"/>
      <c r="C29" s="15"/>
      <c r="D29" s="16"/>
      <c r="E29" s="15"/>
      <c r="F29" s="15"/>
      <c r="G29" s="17"/>
      <c r="H29" s="15"/>
      <c r="I29" s="18"/>
      <c r="J29" s="15"/>
      <c r="K29" s="15"/>
      <c r="L29" s="15"/>
    </row>
  </sheetData>
  <autoFilter ref="A3:L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8"/>
    <col collapsed="false" customWidth="true" hidden="false" outlineLevel="0" max="8" min="7" style="1" width="10"/>
    <col collapsed="false" customWidth="true" hidden="false" outlineLevel="0" max="9" min="9" style="1" width="8"/>
    <col collapsed="false" customWidth="true" hidden="false" outlineLevel="0" max="10" min="10" style="1" width="16"/>
  </cols>
  <sheetData>
    <row r="1" customFormat="false" ht="17.25" hidden="false" customHeight="true" outlineLevel="0" collapsed="false">
      <c r="A1" s="2" t="s">
        <v>354</v>
      </c>
    </row>
    <row r="3" customFormat="false" ht="34.5" hidden="false" customHeight="true" outlineLevel="0" collapsed="false">
      <c r="A3" s="19" t="s">
        <v>87</v>
      </c>
      <c r="B3" s="19" t="s">
        <v>91</v>
      </c>
      <c r="C3" s="19" t="s">
        <v>355</v>
      </c>
      <c r="D3" s="19" t="s">
        <v>94</v>
      </c>
      <c r="E3" s="19" t="s">
        <v>98</v>
      </c>
      <c r="F3" s="19" t="s">
        <v>101</v>
      </c>
      <c r="G3" s="19" t="s">
        <v>105</v>
      </c>
      <c r="H3" s="19" t="s">
        <v>108</v>
      </c>
      <c r="I3" s="19" t="s">
        <v>58</v>
      </c>
      <c r="J3" s="19" t="s">
        <v>54</v>
      </c>
    </row>
    <row r="4" customFormat="false" ht="15" hidden="false" customHeight="true" outlineLevel="0" collapsed="false">
      <c r="A4" s="15" t="s">
        <v>296</v>
      </c>
      <c r="B4" s="15" t="s">
        <v>356</v>
      </c>
      <c r="C4" s="16" t="n">
        <v>10</v>
      </c>
      <c r="D4" s="15" t="s">
        <v>357</v>
      </c>
      <c r="E4" s="15" t="s">
        <v>358</v>
      </c>
      <c r="F4" s="15" t="s">
        <v>359</v>
      </c>
      <c r="G4" s="17" t="n">
        <v>0.06</v>
      </c>
      <c r="H4" s="16" t="n">
        <v>2</v>
      </c>
      <c r="I4" s="15" t="s">
        <v>234</v>
      </c>
      <c r="J4" s="15" t="s">
        <v>242</v>
      </c>
    </row>
    <row r="5" customFormat="false" ht="15" hidden="false" customHeight="true" outlineLevel="0" collapsed="false">
      <c r="A5" s="15" t="s">
        <v>296</v>
      </c>
      <c r="B5" s="15" t="s">
        <v>356</v>
      </c>
      <c r="C5" s="16" t="n">
        <v>20</v>
      </c>
      <c r="D5" s="15" t="s">
        <v>360</v>
      </c>
      <c r="E5" s="15" t="s">
        <v>361</v>
      </c>
      <c r="F5" s="15" t="s">
        <v>362</v>
      </c>
      <c r="G5" s="17" t="n">
        <v>0.14</v>
      </c>
      <c r="H5" s="16" t="n">
        <v>2</v>
      </c>
      <c r="I5" s="15" t="s">
        <v>234</v>
      </c>
      <c r="J5" s="15" t="s">
        <v>242</v>
      </c>
    </row>
    <row r="6" customFormat="false" ht="15" hidden="false" customHeight="true" outlineLevel="0" collapsed="false">
      <c r="A6" s="15" t="s">
        <v>296</v>
      </c>
      <c r="B6" s="15" t="s">
        <v>356</v>
      </c>
      <c r="C6" s="16" t="n">
        <v>30</v>
      </c>
      <c r="D6" s="15" t="s">
        <v>363</v>
      </c>
      <c r="E6" s="15" t="s">
        <v>364</v>
      </c>
      <c r="F6" s="15" t="s">
        <v>365</v>
      </c>
      <c r="G6" s="17" t="n">
        <v>0.03</v>
      </c>
      <c r="H6" s="16" t="n">
        <v>1</v>
      </c>
      <c r="I6" s="15" t="s">
        <v>234</v>
      </c>
      <c r="J6" s="15" t="s">
        <v>265</v>
      </c>
    </row>
    <row r="7" customFormat="false" ht="15" hidden="false" customHeight="true" outlineLevel="0" collapsed="false">
      <c r="A7" s="15" t="s">
        <v>303</v>
      </c>
      <c r="B7" s="15" t="s">
        <v>366</v>
      </c>
      <c r="C7" s="16" t="n">
        <v>10</v>
      </c>
      <c r="D7" s="15" t="s">
        <v>367</v>
      </c>
      <c r="E7" s="15" t="s">
        <v>368</v>
      </c>
      <c r="F7" s="15" t="s">
        <v>369</v>
      </c>
      <c r="G7" s="17" t="n">
        <v>0.12</v>
      </c>
      <c r="H7" s="16" t="n">
        <v>2</v>
      </c>
      <c r="I7" s="15" t="s">
        <v>234</v>
      </c>
      <c r="J7" s="15" t="s">
        <v>260</v>
      </c>
    </row>
    <row r="8" customFormat="false" ht="15" hidden="false" customHeight="true" outlineLevel="0" collapsed="false">
      <c r="A8" s="15" t="s">
        <v>307</v>
      </c>
      <c r="B8" s="15" t="s">
        <v>366</v>
      </c>
      <c r="C8" s="16" t="n">
        <v>10</v>
      </c>
      <c r="D8" s="15" t="s">
        <v>370</v>
      </c>
      <c r="E8" s="15" t="s">
        <v>371</v>
      </c>
      <c r="F8" s="15" t="s">
        <v>359</v>
      </c>
      <c r="G8" s="17" t="n">
        <v>0.09</v>
      </c>
      <c r="H8" s="16" t="n">
        <v>1</v>
      </c>
      <c r="I8" s="15" t="s">
        <v>234</v>
      </c>
      <c r="J8" s="15" t="s">
        <v>242</v>
      </c>
    </row>
    <row r="9" customFormat="false" ht="15" hidden="false" customHeight="true" outlineLevel="0" collapsed="false">
      <c r="A9" s="15" t="s">
        <v>309</v>
      </c>
      <c r="B9" s="15" t="s">
        <v>372</v>
      </c>
      <c r="C9" s="16" t="n">
        <v>10</v>
      </c>
      <c r="D9" s="15" t="s">
        <v>373</v>
      </c>
      <c r="E9" s="15" t="s">
        <v>374</v>
      </c>
      <c r="F9" s="15" t="s">
        <v>375</v>
      </c>
      <c r="G9" s="17" t="n">
        <v>0.1</v>
      </c>
      <c r="H9" s="16" t="n">
        <v>1</v>
      </c>
      <c r="I9" s="15" t="s">
        <v>234</v>
      </c>
      <c r="J9" s="15" t="s">
        <v>248</v>
      </c>
    </row>
    <row r="10" customFormat="false" ht="15" hidden="false" customHeight="true" outlineLevel="0" collapsed="false">
      <c r="A10" s="15" t="s">
        <v>313</v>
      </c>
      <c r="B10" s="15" t="s">
        <v>376</v>
      </c>
      <c r="C10" s="16" t="n">
        <v>10</v>
      </c>
      <c r="D10" s="15" t="s">
        <v>377</v>
      </c>
      <c r="E10" s="15" t="s">
        <v>378</v>
      </c>
      <c r="F10" s="15" t="s">
        <v>379</v>
      </c>
      <c r="G10" s="17" t="n">
        <v>0.08</v>
      </c>
      <c r="H10" s="16" t="n">
        <v>1</v>
      </c>
      <c r="I10" s="15" t="s">
        <v>234</v>
      </c>
      <c r="J10" s="15" t="s">
        <v>254</v>
      </c>
    </row>
    <row r="11" customFormat="false" ht="23.25" hidden="false" customHeight="true" outlineLevel="0" collapsed="false">
      <c r="A11" s="15" t="s">
        <v>317</v>
      </c>
      <c r="B11" s="15" t="s">
        <v>380</v>
      </c>
      <c r="C11" s="16" t="n">
        <v>10</v>
      </c>
      <c r="D11" s="15" t="s">
        <v>381</v>
      </c>
      <c r="E11" s="15" t="s">
        <v>382</v>
      </c>
      <c r="F11" s="15" t="s">
        <v>369</v>
      </c>
      <c r="G11" s="17" t="n">
        <v>0.25</v>
      </c>
      <c r="H11" s="16" t="n">
        <v>3</v>
      </c>
      <c r="I11" s="15" t="s">
        <v>234</v>
      </c>
      <c r="J11" s="15" t="s">
        <v>260</v>
      </c>
    </row>
    <row r="12" customFormat="false" ht="23.25" hidden="false" customHeight="true" outlineLevel="0" collapsed="false">
      <c r="A12" s="15" t="s">
        <v>320</v>
      </c>
      <c r="B12" s="15" t="s">
        <v>380</v>
      </c>
      <c r="C12" s="16" t="n">
        <v>10</v>
      </c>
      <c r="D12" s="15" t="s">
        <v>381</v>
      </c>
      <c r="E12" s="15" t="s">
        <v>383</v>
      </c>
      <c r="F12" s="15" t="s">
        <v>369</v>
      </c>
      <c r="G12" s="17" t="n">
        <v>0.2</v>
      </c>
      <c r="H12" s="16" t="n">
        <v>2</v>
      </c>
      <c r="I12" s="15" t="s">
        <v>234</v>
      </c>
      <c r="J12" s="15" t="s">
        <v>260</v>
      </c>
    </row>
    <row r="13" customFormat="false" ht="23.25" hidden="false" customHeight="true" outlineLevel="0" collapsed="false">
      <c r="A13" s="15" t="s">
        <v>323</v>
      </c>
      <c r="B13" s="15" t="s">
        <v>380</v>
      </c>
      <c r="C13" s="16" t="n">
        <v>10</v>
      </c>
      <c r="D13" s="15" t="s">
        <v>381</v>
      </c>
      <c r="E13" s="15" t="s">
        <v>384</v>
      </c>
      <c r="F13" s="15" t="s">
        <v>369</v>
      </c>
      <c r="G13" s="17" t="n">
        <v>0.18</v>
      </c>
      <c r="H13" s="16" t="n">
        <v>2</v>
      </c>
      <c r="I13" s="15" t="s">
        <v>234</v>
      </c>
      <c r="J13" s="15" t="s">
        <v>260</v>
      </c>
    </row>
  </sheetData>
  <autoFilter ref="A3:J13"/>
  <conditionalFormatting sqref="I4:I40">
    <cfRule type="expression" priority="2" aboveAverage="0" equalAverage="0" bottom="0" percent="0" rank="0" text="" dxfId="7">
      <formula>$I4="Bəli"</formula>
    </cfRule>
    <cfRule type="expression" priority="3" aboveAverage="0" equalAverage="0" bottom="0" percent="0" rank="0" text="" dxfId="8">
      <formula>$I4="Xeyr"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6" min="5" style="1" width="7"/>
    <col collapsed="false" customWidth="true" hidden="false" outlineLevel="0" max="7" min="7" style="1" width="9"/>
    <col collapsed="false" customWidth="true" hidden="false" outlineLevel="0" max="8" min="8" style="1" width="7"/>
    <col collapsed="false" customWidth="true" hidden="false" outlineLevel="0" max="10" min="9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1"/>
    <col collapsed="false" customWidth="true" hidden="false" outlineLevel="0" max="14" min="14" style="1" width="10"/>
    <col collapsed="false" customWidth="true" hidden="false" outlineLevel="0" max="15" min="15" style="1" width="12"/>
  </cols>
  <sheetData>
    <row r="1" customFormat="false" ht="17.25" hidden="false" customHeight="true" outlineLevel="0" collapsed="false">
      <c r="A1" s="2" t="s">
        <v>385</v>
      </c>
    </row>
    <row r="4" customFormat="false" ht="23.25" hidden="false" customHeight="true" outlineLevel="0" collapsed="false">
      <c r="A4" s="19" t="s">
        <v>386</v>
      </c>
      <c r="B4" s="19" t="s">
        <v>111</v>
      </c>
      <c r="C4" s="19" t="s">
        <v>33</v>
      </c>
      <c r="D4" s="19" t="s">
        <v>36</v>
      </c>
      <c r="E4" s="19" t="s">
        <v>39</v>
      </c>
      <c r="F4" s="19" t="s">
        <v>41</v>
      </c>
      <c r="G4" s="19" t="s">
        <v>76</v>
      </c>
      <c r="H4" s="19" t="s">
        <v>43</v>
      </c>
      <c r="I4" s="19" t="s">
        <v>130</v>
      </c>
      <c r="J4" s="19" t="s">
        <v>115</v>
      </c>
      <c r="K4" s="19" t="s">
        <v>120</v>
      </c>
      <c r="L4" s="19" t="s">
        <v>123</v>
      </c>
      <c r="M4" s="19" t="s">
        <v>127</v>
      </c>
      <c r="N4" s="19" t="s">
        <v>54</v>
      </c>
      <c r="O4" s="19" t="s">
        <v>222</v>
      </c>
    </row>
    <row r="5" customFormat="false" ht="15" hidden="false" customHeight="true" outlineLevel="0" collapsed="false">
      <c r="A5" s="20" t="n">
        <v>46254</v>
      </c>
      <c r="B5" s="15" t="s">
        <v>196</v>
      </c>
      <c r="C5" s="15" t="s">
        <v>229</v>
      </c>
      <c r="D5" s="15" t="s">
        <v>340</v>
      </c>
      <c r="E5" s="21" t="str">
        <f aca="false">IF(C5="","",IFERROR(VLOOKUP(C5,1_Mallar!A:C,3,FALSE()),""))</f>
        <v>XM</v>
      </c>
      <c r="F5" s="21" t="str">
        <f aca="false">IF(C5="","",IFERROR(VLOOKUP(C5,1_Mallar!A:D,4,FALSE()),""))</f>
        <v>PLD</v>
      </c>
      <c r="G5" s="17" t="n">
        <v>100</v>
      </c>
      <c r="H5" s="15" t="s">
        <v>233</v>
      </c>
      <c r="I5" s="15" t="s">
        <v>387</v>
      </c>
      <c r="J5" s="15"/>
      <c r="K5" s="15" t="s">
        <v>388</v>
      </c>
      <c r="L5" s="15"/>
      <c r="M5" s="15" t="s">
        <v>20</v>
      </c>
      <c r="N5" s="15" t="s">
        <v>235</v>
      </c>
      <c r="O5" s="15" t="s">
        <v>389</v>
      </c>
    </row>
    <row r="6" customFormat="false" ht="15" hidden="false" customHeight="true" outlineLevel="0" collapsed="false">
      <c r="A6" s="20" t="n">
        <v>46254</v>
      </c>
      <c r="B6" s="15" t="s">
        <v>196</v>
      </c>
      <c r="C6" s="15" t="s">
        <v>249</v>
      </c>
      <c r="D6" s="15" t="s">
        <v>346</v>
      </c>
      <c r="E6" s="21" t="str">
        <f aca="false">IF(C6="","",IFERROR(VLOOKUP(C6,1_Mallar!A:C,3,FALSE()),""))</f>
        <v>XM</v>
      </c>
      <c r="F6" s="21" t="str">
        <f aca="false">IF(C6="","",IFERROR(VLOOKUP(C6,1_Mallar!A:D,4,FALSE()),""))</f>
        <v>LTN</v>
      </c>
      <c r="G6" s="17" t="n">
        <v>40</v>
      </c>
      <c r="H6" s="15" t="s">
        <v>233</v>
      </c>
      <c r="I6" s="15" t="s">
        <v>387</v>
      </c>
      <c r="J6" s="15"/>
      <c r="K6" s="15" t="s">
        <v>388</v>
      </c>
      <c r="L6" s="15"/>
      <c r="M6" s="15" t="s">
        <v>20</v>
      </c>
      <c r="N6" s="15" t="s">
        <v>235</v>
      </c>
      <c r="O6" s="15"/>
    </row>
    <row r="7" customFormat="false" ht="15" hidden="false" customHeight="true" outlineLevel="0" collapsed="false">
      <c r="A7" s="20" t="n">
        <v>46255</v>
      </c>
      <c r="B7" s="15" t="s">
        <v>196</v>
      </c>
      <c r="C7" s="15" t="s">
        <v>276</v>
      </c>
      <c r="D7" s="15" t="s">
        <v>390</v>
      </c>
      <c r="E7" s="21" t="str">
        <f aca="false">IF(C7="","",IFERROR(VLOOKUP(C7,1_Mallar!A:C,3,FALSE()),""))</f>
        <v>SM</v>
      </c>
      <c r="F7" s="21" t="str">
        <f aca="false">IF(C7="","",IFERROR(VLOOKUP(C7,1_Mallar!A:D,4,FALSE()),""))</f>
        <v>QYN</v>
      </c>
      <c r="G7" s="17" t="n">
        <v>20</v>
      </c>
      <c r="H7" s="15" t="s">
        <v>233</v>
      </c>
      <c r="I7" s="15" t="s">
        <v>387</v>
      </c>
      <c r="J7" s="15"/>
      <c r="K7" s="15" t="s">
        <v>391</v>
      </c>
      <c r="L7" s="15"/>
      <c r="M7" s="15" t="s">
        <v>20</v>
      </c>
      <c r="N7" s="15" t="s">
        <v>235</v>
      </c>
      <c r="O7" s="15"/>
    </row>
    <row r="8" customFormat="false" ht="15" hidden="false" customHeight="true" outlineLevel="0" collapsed="false">
      <c r="A8" s="20" t="n">
        <v>46259</v>
      </c>
      <c r="B8" s="15" t="s">
        <v>199</v>
      </c>
      <c r="C8" s="15" t="s">
        <v>229</v>
      </c>
      <c r="D8" s="15" t="s">
        <v>340</v>
      </c>
      <c r="E8" s="21" t="str">
        <f aca="false">IF(C8="","",IFERROR(VLOOKUP(C8,1_Mallar!A:C,3,FALSE()),""))</f>
        <v>XM</v>
      </c>
      <c r="F8" s="21" t="str">
        <f aca="false">IF(C8="","",IFERROR(VLOOKUP(C8,1_Mallar!A:D,4,FALSE()),""))</f>
        <v>PLD</v>
      </c>
      <c r="G8" s="17" t="n">
        <v>-25</v>
      </c>
      <c r="H8" s="15" t="s">
        <v>233</v>
      </c>
      <c r="I8" s="15" t="s">
        <v>387</v>
      </c>
      <c r="J8" s="15" t="s">
        <v>392</v>
      </c>
      <c r="K8" s="15" t="s">
        <v>393</v>
      </c>
      <c r="L8" s="15"/>
      <c r="M8" s="15" t="s">
        <v>20</v>
      </c>
      <c r="N8" s="15" t="s">
        <v>235</v>
      </c>
      <c r="O8" s="15" t="s">
        <v>394</v>
      </c>
    </row>
    <row r="9" customFormat="false" ht="15" hidden="false" customHeight="true" outlineLevel="0" collapsed="false">
      <c r="A9" s="20" t="n">
        <v>46260</v>
      </c>
      <c r="B9" s="15" t="s">
        <v>199</v>
      </c>
      <c r="C9" s="15" t="s">
        <v>249</v>
      </c>
      <c r="D9" s="15" t="s">
        <v>346</v>
      </c>
      <c r="E9" s="21" t="str">
        <f aca="false">IF(C9="","",IFERROR(VLOOKUP(C9,1_Mallar!A:C,3,FALSE()),""))</f>
        <v>XM</v>
      </c>
      <c r="F9" s="21" t="str">
        <f aca="false">IF(C9="","",IFERROR(VLOOKUP(C9,1_Mallar!A:D,4,FALSE()),""))</f>
        <v>LTN</v>
      </c>
      <c r="G9" s="17" t="n">
        <v>-8</v>
      </c>
      <c r="H9" s="15" t="s">
        <v>233</v>
      </c>
      <c r="I9" s="15" t="s">
        <v>387</v>
      </c>
      <c r="J9" s="15" t="s">
        <v>395</v>
      </c>
      <c r="K9" s="15" t="s">
        <v>396</v>
      </c>
      <c r="L9" s="15"/>
      <c r="M9" s="15" t="s">
        <v>20</v>
      </c>
      <c r="N9" s="15" t="s">
        <v>235</v>
      </c>
      <c r="O9" s="15"/>
    </row>
    <row r="10" customFormat="false" ht="23.25" hidden="false" customHeight="true" outlineLevel="0" collapsed="false">
      <c r="A10" s="20" t="n">
        <v>46260</v>
      </c>
      <c r="B10" s="15" t="s">
        <v>397</v>
      </c>
      <c r="C10" s="15" t="s">
        <v>293</v>
      </c>
      <c r="D10" s="15" t="s">
        <v>398</v>
      </c>
      <c r="E10" s="21" t="str">
        <f aca="false">IF(C10="","",IFERROR(VLOOKUP(C10,1_Mallar!A:C,3,FALSE()),""))</f>
        <v>GD</v>
      </c>
      <c r="F10" s="21" t="str">
        <f aca="false">IF(C10="","",IFERROR(VLOOKUP(C10,1_Mallar!A:D,4,FALSE()),""))</f>
        <v>LTN</v>
      </c>
      <c r="G10" s="17" t="n">
        <v>1.5</v>
      </c>
      <c r="H10" s="15" t="s">
        <v>233</v>
      </c>
      <c r="I10" s="15" t="s">
        <v>387</v>
      </c>
      <c r="J10" s="15" t="s">
        <v>395</v>
      </c>
      <c r="K10" s="15" t="s">
        <v>399</v>
      </c>
      <c r="L10" s="15"/>
      <c r="M10" s="15" t="s">
        <v>16</v>
      </c>
      <c r="N10" s="15" t="s">
        <v>235</v>
      </c>
      <c r="O10" s="15"/>
    </row>
    <row r="11" customFormat="false" ht="15" hidden="false" customHeight="true" outlineLevel="0" collapsed="false">
      <c r="A11" s="20" t="n">
        <v>46260</v>
      </c>
      <c r="B11" s="15" t="s">
        <v>202</v>
      </c>
      <c r="C11" s="15" t="s">
        <v>249</v>
      </c>
      <c r="D11" s="15" t="s">
        <v>346</v>
      </c>
      <c r="E11" s="21" t="str">
        <f aca="false">IF(C11="","",IFERROR(VLOOKUP(C11,1_Mallar!A:C,3,FALSE()),""))</f>
        <v>XM</v>
      </c>
      <c r="F11" s="21" t="str">
        <f aca="false">IF(C11="","",IFERROR(VLOOKUP(C11,1_Mallar!A:D,4,FALSE()),""))</f>
        <v>LTN</v>
      </c>
      <c r="G11" s="17" t="n">
        <v>-0.5</v>
      </c>
      <c r="H11" s="15" t="s">
        <v>233</v>
      </c>
      <c r="I11" s="15" t="s">
        <v>400</v>
      </c>
      <c r="J11" s="15" t="s">
        <v>395</v>
      </c>
      <c r="K11" s="15" t="s">
        <v>401</v>
      </c>
      <c r="L11" s="15"/>
      <c r="M11" s="15" t="s">
        <v>20</v>
      </c>
      <c r="N11" s="15" t="s">
        <v>265</v>
      </c>
      <c r="O11" s="15"/>
    </row>
    <row r="12" customFormat="false" ht="15" hidden="false" customHeight="true" outlineLevel="0" collapsed="false">
      <c r="A12" s="20" t="n">
        <v>46261</v>
      </c>
      <c r="B12" s="15" t="s">
        <v>402</v>
      </c>
      <c r="C12" s="15" t="s">
        <v>296</v>
      </c>
      <c r="D12" s="15" t="s">
        <v>403</v>
      </c>
      <c r="E12" s="21" t="str">
        <f aca="false">IF(C12="","",IFERROR(VLOOKUP(C12,1_Mallar!A:C,3,FALSE()),""))</f>
        <v>YF</v>
      </c>
      <c r="F12" s="21" t="str">
        <f aca="false">IF(C12="","",IFERROR(VLOOKUP(C12,1_Mallar!A:D,4,FALSE()),""))</f>
        <v>CRK</v>
      </c>
      <c r="G12" s="17" t="n">
        <v>4</v>
      </c>
      <c r="H12" s="15" t="s">
        <v>240</v>
      </c>
      <c r="I12" s="15" t="s">
        <v>387</v>
      </c>
      <c r="J12" s="15" t="s">
        <v>392</v>
      </c>
      <c r="K12" s="15" t="s">
        <v>404</v>
      </c>
      <c r="L12" s="15"/>
      <c r="M12" s="15" t="s">
        <v>16</v>
      </c>
      <c r="N12" s="15" t="s">
        <v>235</v>
      </c>
      <c r="O12" s="15"/>
    </row>
    <row r="13" customFormat="false" ht="15" hidden="false" customHeight="true" outlineLevel="0" collapsed="false">
      <c r="A13" s="20" t="n">
        <v>46269</v>
      </c>
      <c r="B13" s="15" t="s">
        <v>205</v>
      </c>
      <c r="C13" s="15" t="s">
        <v>276</v>
      </c>
      <c r="D13" s="15" t="s">
        <v>390</v>
      </c>
      <c r="E13" s="21" t="str">
        <f aca="false">IF(C13="","",IFERROR(VLOOKUP(C13,1_Mallar!A:C,3,FALSE()),""))</f>
        <v>SM</v>
      </c>
      <c r="F13" s="21" t="str">
        <f aca="false">IF(C13="","",IFERROR(VLOOKUP(C13,1_Mallar!A:D,4,FALSE()),""))</f>
        <v>QYN</v>
      </c>
      <c r="G13" s="17" t="n">
        <v>2</v>
      </c>
      <c r="H13" s="15" t="s">
        <v>233</v>
      </c>
      <c r="I13" s="15" t="s">
        <v>387</v>
      </c>
      <c r="J13" s="15"/>
      <c r="K13" s="15" t="s">
        <v>405</v>
      </c>
      <c r="L13" s="15" t="s">
        <v>406</v>
      </c>
      <c r="M13" s="15" t="s">
        <v>14</v>
      </c>
      <c r="N13" s="15" t="s">
        <v>235</v>
      </c>
      <c r="O13" s="15"/>
    </row>
    <row r="14" customFormat="false" ht="15" hidden="false" customHeight="true" outlineLevel="0" collapsed="false">
      <c r="A14" s="20" t="n">
        <v>46269</v>
      </c>
      <c r="B14" s="15" t="s">
        <v>208</v>
      </c>
      <c r="C14" s="15" t="s">
        <v>229</v>
      </c>
      <c r="D14" s="15" t="s">
        <v>340</v>
      </c>
      <c r="E14" s="21" t="str">
        <f aca="false">IF(C14="","",IFERROR(VLOOKUP(C14,1_Mallar!A:C,3,FALSE()),""))</f>
        <v>XM</v>
      </c>
      <c r="F14" s="21" t="str">
        <f aca="false">IF(C14="","",IFERROR(VLOOKUP(C14,1_Mallar!A:D,4,FALSE()),""))</f>
        <v>PLD</v>
      </c>
      <c r="G14" s="17" t="n">
        <v>-3</v>
      </c>
      <c r="H14" s="15" t="s">
        <v>233</v>
      </c>
      <c r="I14" s="15" t="s">
        <v>387</v>
      </c>
      <c r="J14" s="15"/>
      <c r="K14" s="15" t="s">
        <v>405</v>
      </c>
      <c r="L14" s="15" t="s">
        <v>406</v>
      </c>
      <c r="M14" s="15" t="s">
        <v>14</v>
      </c>
      <c r="N14" s="15" t="s">
        <v>235</v>
      </c>
      <c r="O14" s="15"/>
    </row>
    <row r="15" customFormat="false" ht="15" hidden="false" customHeight="true" outlineLevel="0" collapsed="false">
      <c r="A15" s="20" t="n">
        <v>46269</v>
      </c>
      <c r="B15" s="15" t="s">
        <v>205</v>
      </c>
      <c r="C15" s="15" t="s">
        <v>289</v>
      </c>
      <c r="D15" s="15" t="s">
        <v>407</v>
      </c>
      <c r="E15" s="21" t="str">
        <f aca="false">IF(C15="","",IFERROR(VLOOKUP(C15,1_Mallar!A:C,3,FALSE()),""))</f>
        <v>QB</v>
      </c>
      <c r="F15" s="21" t="str">
        <f aca="false">IF(C15="","",IFERROR(VLOOKUP(C15,1_Mallar!A:D,4,FALSE()),""))</f>
        <v>ETK</v>
      </c>
      <c r="G15" s="17" t="n">
        <v>100</v>
      </c>
      <c r="H15" s="15" t="s">
        <v>240</v>
      </c>
      <c r="I15" s="15" t="s">
        <v>387</v>
      </c>
      <c r="J15" s="15"/>
      <c r="K15" s="15" t="s">
        <v>405</v>
      </c>
      <c r="L15" s="15" t="s">
        <v>406</v>
      </c>
      <c r="M15" s="15" t="s">
        <v>14</v>
      </c>
      <c r="N15" s="15" t="s">
        <v>235</v>
      </c>
      <c r="O15" s="15" t="s">
        <v>408</v>
      </c>
    </row>
    <row r="16" customFormat="false" ht="15" hidden="false" customHeight="true" outlineLevel="0" collapsed="false">
      <c r="A16" s="20"/>
      <c r="B16" s="15"/>
      <c r="C16" s="15"/>
      <c r="D16" s="15"/>
      <c r="E16" s="21" t="str">
        <f aca="false">IF(C16="","",IFERROR(VLOOKUP(C16,1_Mallar!A:C,3,FALSE()),""))</f>
        <v/>
      </c>
      <c r="F16" s="21" t="str">
        <f aca="false">IF(C16="","",IFERROR(VLOOKUP(C16,1_Mallar!A:D,4,FALSE()),""))</f>
        <v/>
      </c>
      <c r="G16" s="17"/>
      <c r="H16" s="15"/>
      <c r="I16" s="15"/>
      <c r="J16" s="15"/>
      <c r="K16" s="15"/>
      <c r="L16" s="15"/>
      <c r="M16" s="15"/>
      <c r="N16" s="15"/>
      <c r="O16" s="15"/>
    </row>
    <row r="17" customFormat="false" ht="15" hidden="false" customHeight="true" outlineLevel="0" collapsed="false">
      <c r="A17" s="20"/>
      <c r="B17" s="15"/>
      <c r="C17" s="15"/>
      <c r="D17" s="15"/>
      <c r="E17" s="21" t="str">
        <f aca="false">IF(C17="","",IFERROR(VLOOKUP(C17,1_Mallar!A:C,3,FALSE()),""))</f>
        <v/>
      </c>
      <c r="F17" s="21" t="str">
        <f aca="false">IF(C17="","",IFERROR(VLOOKUP(C17,1_Mallar!A:D,4,FALSE()),""))</f>
        <v/>
      </c>
      <c r="G17" s="17"/>
      <c r="H17" s="15"/>
      <c r="I17" s="15"/>
      <c r="J17" s="15"/>
      <c r="K17" s="15"/>
      <c r="L17" s="15"/>
      <c r="M17" s="15"/>
      <c r="N17" s="15"/>
      <c r="O17" s="15"/>
    </row>
    <row r="18" customFormat="false" ht="15" hidden="false" customHeight="true" outlineLevel="0" collapsed="false">
      <c r="A18" s="20"/>
      <c r="B18" s="15"/>
      <c r="C18" s="15"/>
      <c r="D18" s="15"/>
      <c r="E18" s="21" t="str">
        <f aca="false">IF(C18="","",IFERROR(VLOOKUP(C18,1_Mallar!A:C,3,FALSE()),""))</f>
        <v/>
      </c>
      <c r="F18" s="21" t="str">
        <f aca="false">IF(C18="","",IFERROR(VLOOKUP(C18,1_Mallar!A:D,4,FALSE()),""))</f>
        <v/>
      </c>
      <c r="G18" s="17"/>
      <c r="H18" s="15"/>
      <c r="I18" s="15"/>
      <c r="J18" s="15"/>
      <c r="K18" s="15"/>
      <c r="L18" s="15"/>
      <c r="M18" s="15"/>
      <c r="N18" s="15"/>
      <c r="O18" s="15"/>
    </row>
    <row r="19" customFormat="false" ht="15" hidden="false" customHeight="true" outlineLevel="0" collapsed="false">
      <c r="A19" s="20"/>
      <c r="B19" s="15"/>
      <c r="C19" s="15"/>
      <c r="D19" s="15"/>
      <c r="E19" s="21" t="str">
        <f aca="false">IF(C19="","",IFERROR(VLOOKUP(C19,1_Mallar!A:C,3,FALSE()),""))</f>
        <v/>
      </c>
      <c r="F19" s="21" t="str">
        <f aca="false">IF(C19="","",IFERROR(VLOOKUP(C19,1_Mallar!A:D,4,FALSE()),""))</f>
        <v/>
      </c>
      <c r="G19" s="17"/>
      <c r="H19" s="15"/>
      <c r="I19" s="15"/>
      <c r="J19" s="15"/>
      <c r="K19" s="15"/>
      <c r="L19" s="15"/>
      <c r="M19" s="15"/>
      <c r="N19" s="15"/>
      <c r="O19" s="15"/>
    </row>
    <row r="20" customFormat="false" ht="15" hidden="false" customHeight="true" outlineLevel="0" collapsed="false">
      <c r="A20" s="20"/>
      <c r="B20" s="15"/>
      <c r="C20" s="15"/>
      <c r="D20" s="15"/>
      <c r="E20" s="21" t="str">
        <f aca="false">IF(C20="","",IFERROR(VLOOKUP(C20,1_Mallar!A:C,3,FALSE()),""))</f>
        <v/>
      </c>
      <c r="F20" s="21" t="str">
        <f aca="false">IF(C20="","",IFERROR(VLOOKUP(C20,1_Mallar!A:D,4,FALSE()),""))</f>
        <v/>
      </c>
      <c r="G20" s="17"/>
      <c r="H20" s="15"/>
      <c r="I20" s="15"/>
      <c r="J20" s="15"/>
      <c r="K20" s="15"/>
      <c r="L20" s="15"/>
      <c r="M20" s="15"/>
      <c r="N20" s="15"/>
      <c r="O20" s="15"/>
    </row>
    <row r="21" customFormat="false" ht="15" hidden="false" customHeight="true" outlineLevel="0" collapsed="false">
      <c r="A21" s="20"/>
      <c r="B21" s="15"/>
      <c r="C21" s="15"/>
      <c r="D21" s="15"/>
      <c r="E21" s="21" t="str">
        <f aca="false">IF(C21="","",IFERROR(VLOOKUP(C21,1_Mallar!A:C,3,FALSE()),""))</f>
        <v/>
      </c>
      <c r="F21" s="21" t="str">
        <f aca="false">IF(C21="","",IFERROR(VLOOKUP(C21,1_Mallar!A:D,4,FALSE()),""))</f>
        <v/>
      </c>
      <c r="G21" s="17"/>
      <c r="H21" s="15"/>
      <c r="I21" s="15"/>
      <c r="J21" s="15"/>
      <c r="K21" s="15"/>
      <c r="L21" s="15"/>
      <c r="M21" s="15"/>
      <c r="N21" s="15"/>
      <c r="O21" s="15"/>
    </row>
    <row r="22" customFormat="false" ht="15" hidden="false" customHeight="true" outlineLevel="0" collapsed="false">
      <c r="A22" s="20"/>
      <c r="B22" s="15"/>
      <c r="C22" s="15"/>
      <c r="D22" s="15"/>
      <c r="E22" s="21" t="str">
        <f aca="false">IF(C22="","",IFERROR(VLOOKUP(C22,1_Mallar!A:C,3,FALSE()),""))</f>
        <v/>
      </c>
      <c r="F22" s="21" t="str">
        <f aca="false">IF(C22="","",IFERROR(VLOOKUP(C22,1_Mallar!A:D,4,FALSE()),""))</f>
        <v/>
      </c>
      <c r="G22" s="17"/>
      <c r="H22" s="15"/>
      <c r="I22" s="15"/>
      <c r="J22" s="15"/>
      <c r="K22" s="15"/>
      <c r="L22" s="15"/>
      <c r="M22" s="15"/>
      <c r="N22" s="15"/>
      <c r="O22" s="15"/>
    </row>
    <row r="23" customFormat="false" ht="15" hidden="false" customHeight="true" outlineLevel="0" collapsed="false">
      <c r="A23" s="20"/>
      <c r="B23" s="15"/>
      <c r="C23" s="15"/>
      <c r="D23" s="15"/>
      <c r="E23" s="21" t="str">
        <f aca="false">IF(C23="","",IFERROR(VLOOKUP(C23,1_Mallar!A:C,3,FALSE()),""))</f>
        <v/>
      </c>
      <c r="F23" s="21" t="str">
        <f aca="false">IF(C23="","",IFERROR(VLOOKUP(C23,1_Mallar!A:D,4,FALSE()),""))</f>
        <v/>
      </c>
      <c r="G23" s="17"/>
      <c r="H23" s="15"/>
      <c r="I23" s="15"/>
      <c r="J23" s="15"/>
      <c r="K23" s="15"/>
      <c r="L23" s="15"/>
      <c r="M23" s="15"/>
      <c r="N23" s="15"/>
      <c r="O23" s="15"/>
    </row>
    <row r="24" customFormat="false" ht="15" hidden="false" customHeight="true" outlineLevel="0" collapsed="false">
      <c r="A24" s="20"/>
      <c r="B24" s="15"/>
      <c r="C24" s="15"/>
      <c r="D24" s="15"/>
      <c r="E24" s="21" t="str">
        <f aca="false">IF(C24="","",IFERROR(VLOOKUP(C24,1_Mallar!A:C,3,FALSE()),""))</f>
        <v/>
      </c>
      <c r="F24" s="21" t="str">
        <f aca="false">IF(C24="","",IFERROR(VLOOKUP(C24,1_Mallar!A:D,4,FALSE()),""))</f>
        <v/>
      </c>
      <c r="G24" s="17"/>
      <c r="H24" s="15"/>
      <c r="I24" s="15"/>
      <c r="J24" s="15"/>
      <c r="K24" s="15"/>
      <c r="L24" s="15"/>
      <c r="M24" s="15"/>
      <c r="N24" s="15"/>
      <c r="O24" s="15"/>
    </row>
    <row r="25" customFormat="false" ht="15" hidden="false" customHeight="true" outlineLevel="0" collapsed="false">
      <c r="A25" s="20"/>
      <c r="B25" s="15"/>
      <c r="C25" s="15"/>
      <c r="D25" s="15"/>
      <c r="E25" s="21" t="str">
        <f aca="false">IF(C25="","",IFERROR(VLOOKUP(C25,1_Mallar!A:C,3,FALSE()),""))</f>
        <v/>
      </c>
      <c r="F25" s="21" t="str">
        <f aca="false">IF(C25="","",IFERROR(VLOOKUP(C25,1_Mallar!A:D,4,FALSE()),""))</f>
        <v/>
      </c>
      <c r="G25" s="17"/>
      <c r="H25" s="15"/>
      <c r="I25" s="15"/>
      <c r="J25" s="15"/>
      <c r="K25" s="15"/>
      <c r="L25" s="15"/>
      <c r="M25" s="15"/>
      <c r="N25" s="15"/>
      <c r="O25" s="15"/>
    </row>
    <row r="26" customFormat="false" ht="15" hidden="false" customHeight="true" outlineLevel="0" collapsed="false">
      <c r="A26" s="20"/>
      <c r="B26" s="15"/>
      <c r="C26" s="15"/>
      <c r="D26" s="15"/>
      <c r="E26" s="21" t="str">
        <f aca="false">IF(C26="","",IFERROR(VLOOKUP(C26,1_Mallar!A:C,3,FALSE()),""))</f>
        <v/>
      </c>
      <c r="F26" s="21" t="str">
        <f aca="false">IF(C26="","",IFERROR(VLOOKUP(C26,1_Mallar!A:D,4,FALSE()),""))</f>
        <v/>
      </c>
      <c r="G26" s="17"/>
      <c r="H26" s="15"/>
      <c r="I26" s="15"/>
      <c r="J26" s="15"/>
      <c r="K26" s="15"/>
      <c r="L26" s="15"/>
      <c r="M26" s="15"/>
      <c r="N26" s="15"/>
      <c r="O26" s="15"/>
    </row>
    <row r="27" customFormat="false" ht="15" hidden="false" customHeight="true" outlineLevel="0" collapsed="false">
      <c r="A27" s="20"/>
      <c r="B27" s="15"/>
      <c r="C27" s="15"/>
      <c r="D27" s="15"/>
      <c r="E27" s="21" t="str">
        <f aca="false">IF(C27="","",IFERROR(VLOOKUP(C27,1_Mallar!A:C,3,FALSE()),""))</f>
        <v/>
      </c>
      <c r="F27" s="21" t="str">
        <f aca="false">IF(C27="","",IFERROR(VLOOKUP(C27,1_Mallar!A:D,4,FALSE()),""))</f>
        <v/>
      </c>
      <c r="G27" s="17"/>
      <c r="H27" s="15"/>
      <c r="I27" s="15"/>
      <c r="J27" s="15"/>
      <c r="K27" s="15"/>
      <c r="L27" s="15"/>
      <c r="M27" s="15"/>
      <c r="N27" s="15"/>
      <c r="O27" s="15"/>
    </row>
    <row r="28" customFormat="false" ht="15" hidden="false" customHeight="true" outlineLevel="0" collapsed="false">
      <c r="A28" s="20"/>
      <c r="B28" s="15"/>
      <c r="C28" s="15"/>
      <c r="D28" s="15"/>
      <c r="E28" s="21" t="str">
        <f aca="false">IF(C28="","",IFERROR(VLOOKUP(C28,1_Mallar!A:C,3,FALSE()),""))</f>
        <v/>
      </c>
      <c r="F28" s="21" t="str">
        <f aca="false">IF(C28="","",IFERROR(VLOOKUP(C28,1_Mallar!A:D,4,FALSE()),""))</f>
        <v/>
      </c>
      <c r="G28" s="17"/>
      <c r="H28" s="15"/>
      <c r="I28" s="15"/>
      <c r="J28" s="15"/>
      <c r="K28" s="15"/>
      <c r="L28" s="15"/>
      <c r="M28" s="15"/>
      <c r="N28" s="15"/>
      <c r="O28" s="15"/>
    </row>
    <row r="29" customFormat="false" ht="15" hidden="false" customHeight="true" outlineLevel="0" collapsed="false">
      <c r="A29" s="20"/>
      <c r="B29" s="15"/>
      <c r="C29" s="15"/>
      <c r="D29" s="15"/>
      <c r="E29" s="21" t="str">
        <f aca="false">IF(C29="","",IFERROR(VLOOKUP(C29,1_Mallar!A:C,3,FALSE()),""))</f>
        <v/>
      </c>
      <c r="F29" s="21" t="str">
        <f aca="false">IF(C29="","",IFERROR(VLOOKUP(C29,1_Mallar!A:D,4,FALSE()),""))</f>
        <v/>
      </c>
      <c r="G29" s="17"/>
      <c r="H29" s="15"/>
      <c r="I29" s="15"/>
      <c r="J29" s="15"/>
      <c r="K29" s="15"/>
      <c r="L29" s="15"/>
      <c r="M29" s="15"/>
      <c r="N29" s="15"/>
      <c r="O29" s="15"/>
    </row>
    <row r="30" customFormat="false" ht="15" hidden="false" customHeight="true" outlineLevel="0" collapsed="false">
      <c r="A30" s="20"/>
      <c r="B30" s="15"/>
      <c r="C30" s="15"/>
      <c r="D30" s="15"/>
      <c r="E30" s="21" t="str">
        <f aca="false">IF(C30="","",IFERROR(VLOOKUP(C30,1_Mallar!A:C,3,FALSE()),""))</f>
        <v/>
      </c>
      <c r="F30" s="21" t="str">
        <f aca="false">IF(C30="","",IFERROR(VLOOKUP(C30,1_Mallar!A:D,4,FALSE()),""))</f>
        <v/>
      </c>
      <c r="G30" s="17"/>
      <c r="H30" s="15"/>
      <c r="I30" s="15"/>
      <c r="J30" s="15"/>
      <c r="K30" s="15"/>
      <c r="L30" s="15"/>
      <c r="M30" s="15"/>
      <c r="N30" s="15"/>
      <c r="O30" s="15"/>
    </row>
  </sheetData>
  <autoFilter ref="A4:O30"/>
  <conditionalFormatting sqref="I5:I30">
    <cfRule type="expression" priority="2" aboveAverage="0" equalAverage="0" bottom="0" percent="0" rank="0" text="" dxfId="7">
      <formula>$I5="SERBEST"</formula>
    </cfRule>
    <cfRule type="expression" priority="3" aboveAverage="0" equalAverage="0" bottom="0" percent="0" rank="0" text="" dxfId="8">
      <formula>$I5="BLOK_ZAY"</formula>
    </cfRule>
    <cfRule type="expression" priority="4" aboveAverage="0" equalAverage="0" bottom="0" percent="0" rank="0" text="" dxfId="13">
      <formula>$I5="BLOK_QC"</formula>
    </cfRule>
    <cfRule type="expression" priority="5" aboveAverage="0" equalAverage="0" bottom="0" percent="0" rank="0" text="" dxfId="13">
      <formula>$I5="REZERV"</formula>
    </cfRule>
    <cfRule type="expression" priority="6" aboveAverage="0" equalAverage="0" bottom="0" percent="0" rank="0" text="" dxfId="13">
      <formula>$I5="KARANTIN"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4" min="3" style="1" width="7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9" min="8" style="1" width="9"/>
    <col collapsed="false" customWidth="true" hidden="false" outlineLevel="0" max="10" min="10" style="1" width="10"/>
    <col collapsed="false" customWidth="true" hidden="false" outlineLevel="0" max="11" min="11" style="1" width="8"/>
  </cols>
  <sheetData>
    <row r="1" customFormat="false" ht="17.25" hidden="false" customHeight="true" outlineLevel="0" collapsed="false">
      <c r="A1" s="2" t="s">
        <v>409</v>
      </c>
    </row>
    <row r="2" customFormat="false" ht="15" hidden="false" customHeight="false" outlineLevel="0" collapsed="false">
      <c r="A2" s="6" t="s">
        <v>410</v>
      </c>
    </row>
    <row r="4" customFormat="false" ht="15" hidden="false" customHeight="true" outlineLevel="0" collapsed="false">
      <c r="A4" s="8" t="s">
        <v>33</v>
      </c>
      <c r="B4" s="8" t="s">
        <v>36</v>
      </c>
      <c r="C4" s="8" t="s">
        <v>39</v>
      </c>
      <c r="D4" s="8" t="s">
        <v>43</v>
      </c>
      <c r="E4" s="8" t="s">
        <v>132</v>
      </c>
      <c r="F4" s="8" t="s">
        <v>136</v>
      </c>
      <c r="G4" s="8" t="s">
        <v>139</v>
      </c>
      <c r="H4" s="8" t="s">
        <v>142</v>
      </c>
      <c r="I4" s="8" t="s">
        <v>145</v>
      </c>
      <c r="J4" s="8" t="s">
        <v>47</v>
      </c>
      <c r="K4" s="8" t="s">
        <v>148</v>
      </c>
    </row>
    <row r="5" customFormat="false" ht="15" hidden="false" customHeight="true" outlineLevel="0" collapsed="false">
      <c r="A5" s="15" t="s">
        <v>229</v>
      </c>
      <c r="B5" s="15" t="s">
        <v>340</v>
      </c>
      <c r="C5" s="15" t="s">
        <v>231</v>
      </c>
      <c r="D5" s="15" t="s">
        <v>233</v>
      </c>
      <c r="E5" s="17" t="n">
        <v>72</v>
      </c>
      <c r="F5" s="17" t="n">
        <v>10</v>
      </c>
      <c r="G5" s="17" t="n">
        <v>5</v>
      </c>
      <c r="H5" s="17" t="n">
        <v>0</v>
      </c>
      <c r="I5" s="22" t="n">
        <f aca="false">IF(A5="","",E5+F5+G5+H5)</f>
        <v>87</v>
      </c>
      <c r="J5" s="17" t="n">
        <v>50</v>
      </c>
      <c r="K5" s="21" t="str">
        <f aca="false">IF(OR(A5="",J5=""),"",IF(E5&gt;=J5,"Kifayət","Çatışmır"))</f>
        <v>Kifayət</v>
      </c>
    </row>
    <row r="6" customFormat="false" ht="15" hidden="false" customHeight="true" outlineLevel="0" collapsed="false">
      <c r="A6" s="15" t="s">
        <v>249</v>
      </c>
      <c r="B6" s="15" t="s">
        <v>346</v>
      </c>
      <c r="C6" s="15" t="s">
        <v>231</v>
      </c>
      <c r="D6" s="15" t="s">
        <v>233</v>
      </c>
      <c r="E6" s="17" t="n">
        <v>31.5</v>
      </c>
      <c r="F6" s="17" t="n">
        <v>5</v>
      </c>
      <c r="G6" s="17" t="n">
        <v>2.5</v>
      </c>
      <c r="H6" s="17" t="n">
        <v>0</v>
      </c>
      <c r="I6" s="22" t="n">
        <f aca="false">IF(A6="","",E6+F6+G6+H6)</f>
        <v>39</v>
      </c>
      <c r="J6" s="17" t="n">
        <v>30</v>
      </c>
      <c r="K6" s="21" t="str">
        <f aca="false">IF(OR(A6="",J6=""),"",IF(E6&gt;=J6,"Kifayət","Çatışmır"))</f>
        <v>Kifayət</v>
      </c>
    </row>
    <row r="7" customFormat="false" ht="15" hidden="false" customHeight="true" outlineLevel="0" collapsed="false">
      <c r="A7" s="15" t="s">
        <v>276</v>
      </c>
      <c r="B7" s="15" t="s">
        <v>390</v>
      </c>
      <c r="C7" s="15" t="s">
        <v>251</v>
      </c>
      <c r="D7" s="15" t="s">
        <v>233</v>
      </c>
      <c r="E7" s="17" t="n">
        <v>19</v>
      </c>
      <c r="F7" s="17" t="n">
        <v>0</v>
      </c>
      <c r="G7" s="17" t="n">
        <v>0</v>
      </c>
      <c r="H7" s="17" t="n">
        <v>0</v>
      </c>
      <c r="I7" s="22" t="n">
        <f aca="false">IF(A7="","",E7+F7+G7+H7)</f>
        <v>19</v>
      </c>
      <c r="J7" s="17" t="n">
        <v>15</v>
      </c>
      <c r="K7" s="21" t="str">
        <f aca="false">IF(OR(A7="",J7=""),"",IF(E7&gt;=J7,"Kifayət","Çatışmır"))</f>
        <v>Kifayət</v>
      </c>
    </row>
    <row r="8" customFormat="false" ht="15" hidden="false" customHeight="true" outlineLevel="0" collapsed="false">
      <c r="A8" s="15" t="s">
        <v>255</v>
      </c>
      <c r="B8" s="15" t="s">
        <v>411</v>
      </c>
      <c r="C8" s="15" t="s">
        <v>231</v>
      </c>
      <c r="D8" s="15" t="s">
        <v>240</v>
      </c>
      <c r="E8" s="17" t="n">
        <v>50</v>
      </c>
      <c r="F8" s="17" t="n">
        <v>10</v>
      </c>
      <c r="G8" s="17" t="n">
        <v>0</v>
      </c>
      <c r="H8" s="17" t="n">
        <v>0</v>
      </c>
      <c r="I8" s="22" t="n">
        <f aca="false">IF(A8="","",E8+F8+G8+H8)</f>
        <v>60</v>
      </c>
      <c r="J8" s="17" t="n">
        <v>40</v>
      </c>
      <c r="K8" s="21" t="str">
        <f aca="false">IF(OR(A8="",J8=""),"",IF(E8&gt;=J8,"Kifayət","Çatışmır"))</f>
        <v>Kifayət</v>
      </c>
    </row>
    <row r="9" customFormat="false" ht="15" hidden="false" customHeight="true" outlineLevel="0" collapsed="false">
      <c r="A9" s="15" t="s">
        <v>296</v>
      </c>
      <c r="B9" s="15" t="s">
        <v>403</v>
      </c>
      <c r="C9" s="15" t="s">
        <v>238</v>
      </c>
      <c r="D9" s="15" t="s">
        <v>240</v>
      </c>
      <c r="E9" s="17" t="n">
        <v>6</v>
      </c>
      <c r="F9" s="17" t="n">
        <v>2</v>
      </c>
      <c r="G9" s="17" t="n">
        <v>1</v>
      </c>
      <c r="H9" s="17" t="n">
        <v>0</v>
      </c>
      <c r="I9" s="22" t="n">
        <f aca="false">IF(A9="","",E9+F9+G9+H9)</f>
        <v>9</v>
      </c>
      <c r="J9" s="17" t="n">
        <v>5</v>
      </c>
      <c r="K9" s="21" t="str">
        <f aca="false">IF(OR(A9="",J9=""),"",IF(E9&gt;=J9,"Kifayət","Çatışmır"))</f>
        <v>Kifayət</v>
      </c>
    </row>
    <row r="10" customFormat="false" ht="15" hidden="false" customHeight="true" outlineLevel="0" collapsed="false">
      <c r="A10" s="15" t="s">
        <v>303</v>
      </c>
      <c r="B10" s="15" t="s">
        <v>412</v>
      </c>
      <c r="C10" s="15" t="s">
        <v>238</v>
      </c>
      <c r="D10" s="15" t="s">
        <v>240</v>
      </c>
      <c r="E10" s="17" t="n">
        <v>4</v>
      </c>
      <c r="F10" s="17" t="n">
        <v>1</v>
      </c>
      <c r="G10" s="17" t="n">
        <v>0</v>
      </c>
      <c r="H10" s="17" t="n">
        <v>0</v>
      </c>
      <c r="I10" s="22" t="n">
        <f aca="false">IF(A10="","",E10+F10+G10+H10)</f>
        <v>5</v>
      </c>
      <c r="J10" s="17" t="n">
        <v>3</v>
      </c>
      <c r="K10" s="21" t="str">
        <f aca="false">IF(OR(A10="",J10=""),"",IF(E10&gt;=J10,"Kifayət","Çatışmır"))</f>
        <v>Kifayət</v>
      </c>
    </row>
    <row r="11" customFormat="false" ht="15" hidden="false" customHeight="true" outlineLevel="0" collapsed="false">
      <c r="A11" s="15" t="s">
        <v>293</v>
      </c>
      <c r="B11" s="15" t="s">
        <v>398</v>
      </c>
      <c r="C11" s="15" t="s">
        <v>263</v>
      </c>
      <c r="D11" s="15" t="s">
        <v>233</v>
      </c>
      <c r="E11" s="17" t="n">
        <v>12</v>
      </c>
      <c r="F11" s="17" t="n">
        <v>0</v>
      </c>
      <c r="G11" s="17" t="n">
        <v>0</v>
      </c>
      <c r="H11" s="17" t="n">
        <v>0</v>
      </c>
      <c r="I11" s="22" t="n">
        <f aca="false">IF(A11="","",E11+F11+G11+H11)</f>
        <v>12</v>
      </c>
      <c r="J11" s="17" t="n">
        <v>0</v>
      </c>
      <c r="K11" s="21" t="str">
        <f aca="false">IF(OR(A11="",J11=""),"",IF(E11&gt;=J11,"Kifayət","Çatışmır"))</f>
        <v>Kifayət</v>
      </c>
    </row>
    <row r="12" customFormat="false" ht="15" hidden="false" customHeight="true" outlineLevel="0" collapsed="false">
      <c r="A12" s="15" t="s">
        <v>289</v>
      </c>
      <c r="B12" s="15" t="s">
        <v>407</v>
      </c>
      <c r="C12" s="15" t="s">
        <v>257</v>
      </c>
      <c r="D12" s="15" t="s">
        <v>240</v>
      </c>
      <c r="E12" s="17" t="n">
        <v>100</v>
      </c>
      <c r="F12" s="17" t="n">
        <v>0</v>
      </c>
      <c r="G12" s="17" t="n">
        <v>0</v>
      </c>
      <c r="H12" s="17" t="n">
        <v>0</v>
      </c>
      <c r="I12" s="22" t="n">
        <f aca="false">IF(A12="","",E12+F12+G12+H12)</f>
        <v>100</v>
      </c>
      <c r="J12" s="17" t="n">
        <v>500</v>
      </c>
      <c r="K12" s="21" t="str">
        <f aca="false">IF(OR(A12="",J12=""),"",IF(E12&gt;=J12,"Kifayət","Çatışmır"))</f>
        <v>Çatışmır</v>
      </c>
    </row>
    <row r="13" customFormat="false" ht="15" hidden="false" customHeight="true" outlineLevel="0" collapsed="false">
      <c r="A13" s="15" t="s">
        <v>282</v>
      </c>
      <c r="B13" s="15" t="s">
        <v>413</v>
      </c>
      <c r="C13" s="15" t="s">
        <v>251</v>
      </c>
      <c r="D13" s="15" t="s">
        <v>253</v>
      </c>
      <c r="E13" s="17" t="n">
        <v>8</v>
      </c>
      <c r="F13" s="17" t="n">
        <v>0</v>
      </c>
      <c r="G13" s="17" t="n">
        <v>0</v>
      </c>
      <c r="H13" s="17" t="n">
        <v>0</v>
      </c>
      <c r="I13" s="22" t="n">
        <f aca="false">IF(A13="","",E13+F13+G13+H13)</f>
        <v>8</v>
      </c>
      <c r="J13" s="17" t="n">
        <v>5</v>
      </c>
      <c r="K13" s="21" t="str">
        <f aca="false">IF(OR(A13="",J13=""),"",IF(E13&gt;=J13,"Kifayət","Çatışmır"))</f>
        <v>Kifayət</v>
      </c>
    </row>
    <row r="14" customFormat="false" ht="15" hidden="false" customHeight="true" outlineLevel="0" collapsed="false">
      <c r="A14" s="15"/>
      <c r="B14" s="15"/>
      <c r="C14" s="15"/>
      <c r="D14" s="15"/>
      <c r="E14" s="17"/>
      <c r="F14" s="17"/>
      <c r="G14" s="17"/>
      <c r="H14" s="17"/>
      <c r="I14" s="22" t="str">
        <f aca="false">IF(A14="","",E14+F14+G14+H14)</f>
        <v/>
      </c>
      <c r="J14" s="17"/>
      <c r="K14" s="21" t="str">
        <f aca="false">IF(OR(A14="",J14=""),"",IF(E14&gt;=J14,"Kifayət","Çatışmır"))</f>
        <v/>
      </c>
    </row>
    <row r="15" customFormat="false" ht="15" hidden="false" customHeight="true" outlineLevel="0" collapsed="false">
      <c r="A15" s="15"/>
      <c r="B15" s="15"/>
      <c r="C15" s="15"/>
      <c r="D15" s="15"/>
      <c r="E15" s="17"/>
      <c r="F15" s="17"/>
      <c r="G15" s="17"/>
      <c r="H15" s="17"/>
      <c r="I15" s="22" t="str">
        <f aca="false">IF(A15="","",E15+F15+G15+H15)</f>
        <v/>
      </c>
      <c r="J15" s="17"/>
      <c r="K15" s="21" t="str">
        <f aca="false">IF(OR(A15="",J15=""),"",IF(E15&gt;=J15,"Kifayət","Çatışmır"))</f>
        <v/>
      </c>
    </row>
    <row r="16" customFormat="false" ht="15" hidden="false" customHeight="true" outlineLevel="0" collapsed="false">
      <c r="A16" s="15"/>
      <c r="B16" s="15"/>
      <c r="C16" s="15"/>
      <c r="D16" s="15"/>
      <c r="E16" s="17"/>
      <c r="F16" s="17"/>
      <c r="G16" s="17"/>
      <c r="H16" s="17"/>
      <c r="I16" s="22" t="str">
        <f aca="false">IF(A16="","",E16+F16+G16+H16)</f>
        <v/>
      </c>
      <c r="J16" s="17"/>
      <c r="K16" s="21" t="str">
        <f aca="false">IF(OR(A16="",J16=""),"",IF(E16&gt;=J16,"Kifayət","Çatışmır"))</f>
        <v/>
      </c>
    </row>
    <row r="17" customFormat="false" ht="15" hidden="false" customHeight="true" outlineLevel="0" collapsed="false">
      <c r="A17" s="15"/>
      <c r="B17" s="15"/>
      <c r="C17" s="15"/>
      <c r="D17" s="15"/>
      <c r="E17" s="17"/>
      <c r="F17" s="17"/>
      <c r="G17" s="17"/>
      <c r="H17" s="17"/>
      <c r="I17" s="22" t="str">
        <f aca="false">IF(A17="","",E17+F17+G17+H17)</f>
        <v/>
      </c>
      <c r="J17" s="17"/>
      <c r="K17" s="21" t="str">
        <f aca="false">IF(OR(A17="",J17=""),"",IF(E17&gt;=J17,"Kifayət","Çatışmır"))</f>
        <v/>
      </c>
    </row>
    <row r="18" customFormat="false" ht="15" hidden="false" customHeight="true" outlineLevel="0" collapsed="false">
      <c r="A18" s="15"/>
      <c r="B18" s="15"/>
      <c r="C18" s="15"/>
      <c r="D18" s="15"/>
      <c r="E18" s="17"/>
      <c r="F18" s="17"/>
      <c r="G18" s="17"/>
      <c r="H18" s="17"/>
      <c r="I18" s="22" t="str">
        <f aca="false">IF(A18="","",E18+F18+G18+H18)</f>
        <v/>
      </c>
      <c r="J18" s="17"/>
      <c r="K18" s="21" t="str">
        <f aca="false">IF(OR(A18="",J18=""),"",IF(E18&gt;=J18,"Kifayət","Çatışmır"))</f>
        <v/>
      </c>
    </row>
    <row r="19" customFormat="false" ht="15" hidden="false" customHeight="true" outlineLevel="0" collapsed="false">
      <c r="A19" s="15"/>
      <c r="B19" s="15"/>
      <c r="C19" s="15"/>
      <c r="D19" s="15"/>
      <c r="E19" s="17"/>
      <c r="F19" s="17"/>
      <c r="G19" s="17"/>
      <c r="H19" s="17"/>
      <c r="I19" s="22" t="str">
        <f aca="false">IF(A19="","",E19+F19+G19+H19)</f>
        <v/>
      </c>
      <c r="J19" s="17"/>
      <c r="K19" s="21" t="str">
        <f aca="false">IF(OR(A19="",J19=""),"",IF(E19&gt;=J19,"Kifayət","Çatışmır"))</f>
        <v/>
      </c>
    </row>
    <row r="20" customFormat="false" ht="15" hidden="false" customHeight="true" outlineLevel="0" collapsed="false">
      <c r="A20" s="15"/>
      <c r="B20" s="15"/>
      <c r="C20" s="15"/>
      <c r="D20" s="15"/>
      <c r="E20" s="17"/>
      <c r="F20" s="17"/>
      <c r="G20" s="17"/>
      <c r="H20" s="17"/>
      <c r="I20" s="22" t="str">
        <f aca="false">IF(A20="","",E20+F20+G20+H20)</f>
        <v/>
      </c>
      <c r="J20" s="17"/>
      <c r="K20" s="21" t="str">
        <f aca="false">IF(OR(A20="",J20=""),"",IF(E20&gt;=J20,"Kifayət","Çatışmır"))</f>
        <v/>
      </c>
    </row>
    <row r="21" customFormat="false" ht="15" hidden="false" customHeight="true" outlineLevel="0" collapsed="false">
      <c r="A21" s="15"/>
      <c r="B21" s="15"/>
      <c r="C21" s="15"/>
      <c r="D21" s="15"/>
      <c r="E21" s="17"/>
      <c r="F21" s="17"/>
      <c r="G21" s="17"/>
      <c r="H21" s="17"/>
      <c r="I21" s="22" t="str">
        <f aca="false">IF(A21="","",E21+F21+G21+H21)</f>
        <v/>
      </c>
      <c r="J21" s="17"/>
      <c r="K21" s="21" t="str">
        <f aca="false">IF(OR(A21="",J21=""),"",IF(E21&gt;=J21,"Kifayət","Çatışmır"))</f>
        <v/>
      </c>
    </row>
    <row r="22" customFormat="false" ht="15" hidden="false" customHeight="true" outlineLevel="0" collapsed="false">
      <c r="A22" s="15"/>
      <c r="B22" s="15"/>
      <c r="C22" s="15"/>
      <c r="D22" s="15"/>
      <c r="E22" s="17"/>
      <c r="F22" s="17"/>
      <c r="G22" s="17"/>
      <c r="H22" s="17"/>
      <c r="I22" s="22" t="str">
        <f aca="false">IF(A22="","",E22+F22+G22+H22)</f>
        <v/>
      </c>
      <c r="J22" s="17"/>
      <c r="K22" s="21" t="str">
        <f aca="false">IF(OR(A22="",J22=""),"",IF(E22&gt;=J22,"Kifayət","Çatışmır"))</f>
        <v/>
      </c>
    </row>
    <row r="23" customFormat="false" ht="15" hidden="false" customHeight="true" outlineLevel="0" collapsed="false">
      <c r="A23" s="15"/>
      <c r="B23" s="15"/>
      <c r="C23" s="15"/>
      <c r="D23" s="15"/>
      <c r="E23" s="17"/>
      <c r="F23" s="17"/>
      <c r="G23" s="17"/>
      <c r="H23" s="17"/>
      <c r="I23" s="22" t="str">
        <f aca="false">IF(A23="","",E23+F23+G23+H23)</f>
        <v/>
      </c>
      <c r="J23" s="17"/>
      <c r="K23" s="21" t="str">
        <f aca="false">IF(OR(A23="",J23=""),"",IF(E23&gt;=J23,"Kifayət","Çatışmır"))</f>
        <v/>
      </c>
    </row>
    <row r="24" customFormat="false" ht="15" hidden="false" customHeight="false" outlineLevel="0" collapsed="false">
      <c r="I24" s="22" t="str">
        <f aca="false">IF(A24="","",E24+F24+G24+H24)</f>
        <v/>
      </c>
      <c r="K24" s="21" t="str">
        <f aca="false">IF(OR(A24="",J24=""),"",IF(E24&gt;=J24,"Kifayət","Çatışmır"))</f>
        <v/>
      </c>
    </row>
    <row r="25" customFormat="false" ht="15" hidden="false" customHeight="false" outlineLevel="0" collapsed="false">
      <c r="I25" s="22" t="str">
        <f aca="false">IF(A25="","",E25+F25+G25+H25)</f>
        <v/>
      </c>
      <c r="K25" s="21" t="str">
        <f aca="false">IF(OR(A25="",J25=""),"",IF(E25&gt;=J25,"Kifayət","Çatışmır"))</f>
        <v/>
      </c>
    </row>
    <row r="26" customFormat="false" ht="15" hidden="false" customHeight="false" outlineLevel="0" collapsed="false">
      <c r="I26" s="22" t="str">
        <f aca="false">IF(A26="","",E26+F26+G26+H26)</f>
        <v/>
      </c>
      <c r="K26" s="21" t="str">
        <f aca="false">IF(OR(A26="",J26=""),"",IF(E26&gt;=J26,"Kifayət","Çatışmır"))</f>
        <v/>
      </c>
    </row>
    <row r="27" customFormat="false" ht="15" hidden="false" customHeight="false" outlineLevel="0" collapsed="false">
      <c r="I27" s="22" t="str">
        <f aca="false">IF(A27="","",E27+F27+G27+H27)</f>
        <v/>
      </c>
      <c r="K27" s="21" t="str">
        <f aca="false">IF(OR(A27="",J27=""),"",IF(E27&gt;=J27,"Kifayət","Çatışmır"))</f>
        <v/>
      </c>
    </row>
    <row r="28" customFormat="false" ht="15" hidden="false" customHeight="false" outlineLevel="0" collapsed="false">
      <c r="I28" s="22" t="str">
        <f aca="false">IF(A28="","",E28+F28+G28+H28)</f>
        <v/>
      </c>
      <c r="K28" s="21" t="str">
        <f aca="false">IF(OR(A28="",J28=""),"",IF(E28&gt;=J28,"Kifayət","Çatışmır"))</f>
        <v/>
      </c>
    </row>
    <row r="29" customFormat="false" ht="15" hidden="false" customHeight="false" outlineLevel="0" collapsed="false">
      <c r="I29" s="22" t="str">
        <f aca="false">IF(A29="","",E29+F29+G29+H29)</f>
        <v/>
      </c>
      <c r="K29" s="21" t="str">
        <f aca="false">IF(OR(A29="",J29=""),"",IF(E29&gt;=J29,"Kifayət","Çatışmır"))</f>
        <v/>
      </c>
    </row>
    <row r="30" customFormat="false" ht="15" hidden="false" customHeight="false" outlineLevel="0" collapsed="false">
      <c r="I30" s="22" t="str">
        <f aca="false">IF(A30="","",E30+F30+G30+H30)</f>
        <v/>
      </c>
      <c r="K30" s="21" t="str">
        <f aca="false">IF(OR(A30="",J30=""),"",IF(E30&gt;=J30,"Kifayət","Çatışmır"))</f>
        <v/>
      </c>
    </row>
    <row r="31" customFormat="false" ht="15" hidden="false" customHeight="false" outlineLevel="0" collapsed="false">
      <c r="I31" s="22" t="str">
        <f aca="false">IF(A31="","",E31+F31+G31+H31)</f>
        <v/>
      </c>
      <c r="K31" s="21" t="str">
        <f aca="false">IF(OR(A31="",J31=""),"",IF(E31&gt;=J31,"Kifayət","Çatışmır"))</f>
        <v/>
      </c>
    </row>
    <row r="32" customFormat="false" ht="15" hidden="false" customHeight="false" outlineLevel="0" collapsed="false">
      <c r="I32" s="22" t="str">
        <f aca="false">IF(A32="","",E32+F32+G32+H32)</f>
        <v/>
      </c>
      <c r="K32" s="21" t="str">
        <f aca="false">IF(OR(A32="",J32=""),"",IF(E32&gt;=J32,"Kifayət","Çatışmır"))</f>
        <v/>
      </c>
    </row>
    <row r="33" customFormat="false" ht="15" hidden="false" customHeight="false" outlineLevel="0" collapsed="false">
      <c r="I33" s="22" t="str">
        <f aca="false">IF(A33="","",E33+F33+G33+H33)</f>
        <v/>
      </c>
      <c r="K33" s="21" t="str">
        <f aca="false">IF(OR(A33="",J33=""),"",IF(E33&gt;=J33,"Kifayət","Çatışmır"))</f>
        <v/>
      </c>
    </row>
    <row r="34" customFormat="false" ht="15" hidden="false" customHeight="false" outlineLevel="0" collapsed="false">
      <c r="I34" s="22" t="str">
        <f aca="false">IF(A34="","",E34+F34+G34+H34)</f>
        <v/>
      </c>
      <c r="K34" s="21" t="str">
        <f aca="false">IF(OR(A34="",J34=""),"",IF(E34&gt;=J34,"Kifayət","Çatışmır"))</f>
        <v/>
      </c>
    </row>
    <row r="35" customFormat="false" ht="15" hidden="false" customHeight="false" outlineLevel="0" collapsed="false">
      <c r="I35" s="22" t="str">
        <f aca="false">IF(A35="","",E35+F35+G35+H35)</f>
        <v/>
      </c>
      <c r="K35" s="21" t="str">
        <f aca="false">IF(OR(A35="",J35=""),"",IF(E35&gt;=J35,"Kifayət","Çatışmır"))</f>
        <v/>
      </c>
    </row>
    <row r="36" customFormat="false" ht="15" hidden="false" customHeight="false" outlineLevel="0" collapsed="false">
      <c r="I36" s="22" t="str">
        <f aca="false">IF(A36="","",E36+F36+G36+H36)</f>
        <v/>
      </c>
      <c r="K36" s="21" t="str">
        <f aca="false">IF(OR(A36="",J36=""),"",IF(E36&gt;=J36,"Kifayət","Çatışmır"))</f>
        <v/>
      </c>
    </row>
    <row r="37" customFormat="false" ht="15" hidden="false" customHeight="false" outlineLevel="0" collapsed="false">
      <c r="I37" s="22" t="str">
        <f aca="false">IF(A37="","",E37+F37+G37+H37)</f>
        <v/>
      </c>
      <c r="K37" s="21" t="str">
        <f aca="false">IF(OR(A37="",J37=""),"",IF(E37&gt;=J37,"Kifayət","Çatışmır"))</f>
        <v/>
      </c>
    </row>
    <row r="38" customFormat="false" ht="15" hidden="false" customHeight="false" outlineLevel="0" collapsed="false">
      <c r="I38" s="22" t="str">
        <f aca="false">IF(A38="","",E38+F38+G38+H38)</f>
        <v/>
      </c>
      <c r="K38" s="21" t="str">
        <f aca="false">IF(OR(A38="",J38=""),"",IF(E38&gt;=J38,"Kifayət","Çatışmır"))</f>
        <v/>
      </c>
    </row>
    <row r="39" customFormat="false" ht="15" hidden="false" customHeight="false" outlineLevel="0" collapsed="false">
      <c r="I39" s="22" t="str">
        <f aca="false">IF(A39="","",E39+F39+G39+H39)</f>
        <v/>
      </c>
      <c r="K39" s="21" t="str">
        <f aca="false">IF(OR(A39="",J39=""),"",IF(E39&gt;=J39,"Kifayət","Çatışmır"))</f>
        <v/>
      </c>
    </row>
  </sheetData>
  <autoFilter ref="A4:K23"/>
  <conditionalFormatting sqref="K5:K40">
    <cfRule type="expression" priority="2" aboveAverage="0" equalAverage="0" bottom="0" percent="0" rank="0" text="" dxfId="14">
      <formula>$K5="Kifayət"</formula>
    </cfRule>
    <cfRule type="expression" priority="3" aboveAverage="0" equalAverage="0" bottom="0" percent="0" rank="0" text="" dxfId="15">
      <formula>$K5="Çatışmır"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5" min="3" style="1" width="7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10" min="9" style="1" width="10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5" min="13" style="1" width="12"/>
  </cols>
  <sheetData>
    <row r="1" customFormat="false" ht="17.25" hidden="false" customHeight="true" outlineLevel="0" collapsed="false">
      <c r="A1" s="2" t="s">
        <v>414</v>
      </c>
    </row>
    <row r="3" customFormat="false" ht="23.25" hidden="false" customHeight="true" outlineLevel="0" collapsed="false">
      <c r="A3" s="23" t="s">
        <v>123</v>
      </c>
      <c r="B3" s="15" t="s">
        <v>406</v>
      </c>
      <c r="C3" s="23" t="s">
        <v>386</v>
      </c>
      <c r="D3" s="20" t="n">
        <v>46269</v>
      </c>
      <c r="E3" s="23" t="s">
        <v>54</v>
      </c>
      <c r="F3" s="15" t="s">
        <v>235</v>
      </c>
    </row>
    <row r="5" customFormat="false" ht="23.25" hidden="false" customHeight="true" outlineLevel="0" collapsed="false">
      <c r="A5" s="24" t="s">
        <v>33</v>
      </c>
      <c r="B5" s="24" t="s">
        <v>36</v>
      </c>
      <c r="C5" s="24" t="s">
        <v>39</v>
      </c>
      <c r="D5" s="24" t="s">
        <v>41</v>
      </c>
      <c r="E5" s="24" t="s">
        <v>43</v>
      </c>
      <c r="F5" s="24" t="s">
        <v>153</v>
      </c>
      <c r="G5" s="24" t="s">
        <v>156</v>
      </c>
      <c r="H5" s="24" t="s">
        <v>159</v>
      </c>
      <c r="I5" s="24" t="s">
        <v>162</v>
      </c>
      <c r="J5" s="24" t="s">
        <v>165</v>
      </c>
      <c r="K5" s="24" t="s">
        <v>51</v>
      </c>
      <c r="L5" s="24" t="s">
        <v>47</v>
      </c>
      <c r="M5" s="24" t="s">
        <v>415</v>
      </c>
      <c r="N5" s="24" t="s">
        <v>416</v>
      </c>
      <c r="O5" s="24" t="s">
        <v>222</v>
      </c>
    </row>
    <row r="6" customFormat="false" ht="15" hidden="false" customHeight="true" outlineLevel="0" collapsed="false">
      <c r="A6" s="15" t="s">
        <v>276</v>
      </c>
      <c r="B6" s="15" t="s">
        <v>390</v>
      </c>
      <c r="C6" s="15" t="s">
        <v>251</v>
      </c>
      <c r="D6" s="15" t="s">
        <v>264</v>
      </c>
      <c r="E6" s="15" t="s">
        <v>233</v>
      </c>
      <c r="F6" s="17" t="n">
        <v>17</v>
      </c>
      <c r="G6" s="17" t="n">
        <v>19</v>
      </c>
      <c r="H6" s="22" t="n">
        <f aca="false">IF(OR(A6="",G6=""),"",G6-F6)</f>
        <v>2</v>
      </c>
      <c r="I6" s="21" t="str">
        <f aca="false">IF(OR(A6="",H6=""),"",IF(H6&gt;0,"ARTIQ",IF(H6&lt;0,"EKSIK","SIFIR")))</f>
        <v>ARTIQ</v>
      </c>
      <c r="J6" s="15" t="s">
        <v>241</v>
      </c>
      <c r="K6" s="15" t="s">
        <v>234</v>
      </c>
      <c r="L6" s="17" t="n">
        <v>15</v>
      </c>
      <c r="M6" s="15" t="s">
        <v>234</v>
      </c>
      <c r="N6" s="15" t="s">
        <v>234</v>
      </c>
      <c r="O6" s="15"/>
    </row>
    <row r="7" customFormat="false" ht="15" hidden="false" customHeight="true" outlineLevel="0" collapsed="false">
      <c r="A7" s="15" t="s">
        <v>229</v>
      </c>
      <c r="B7" s="15" t="s">
        <v>340</v>
      </c>
      <c r="C7" s="15" t="s">
        <v>231</v>
      </c>
      <c r="D7" s="15" t="s">
        <v>232</v>
      </c>
      <c r="E7" s="15" t="s">
        <v>233</v>
      </c>
      <c r="F7" s="17" t="n">
        <v>75</v>
      </c>
      <c r="G7" s="17" t="n">
        <v>72</v>
      </c>
      <c r="H7" s="22" t="n">
        <f aca="false">IF(OR(A7="",G7=""),"",G7-F7)</f>
        <v>-3</v>
      </c>
      <c r="I7" s="21" t="str">
        <f aca="false">IF(OR(A7="",H7=""),"",IF(H7&gt;0,"ARTIQ",IF(H7&lt;0,"EKSIK","SIFIR")))</f>
        <v>EKSIK</v>
      </c>
      <c r="J7" s="15" t="s">
        <v>241</v>
      </c>
      <c r="K7" s="15" t="s">
        <v>234</v>
      </c>
      <c r="L7" s="17" t="n">
        <v>50</v>
      </c>
      <c r="M7" s="15" t="s">
        <v>234</v>
      </c>
      <c r="N7" s="15" t="s">
        <v>234</v>
      </c>
      <c r="O7" s="15"/>
    </row>
    <row r="8" customFormat="false" ht="15" hidden="false" customHeight="true" outlineLevel="0" collapsed="false">
      <c r="A8" s="15" t="s">
        <v>289</v>
      </c>
      <c r="B8" s="15" t="s">
        <v>407</v>
      </c>
      <c r="C8" s="15" t="s">
        <v>257</v>
      </c>
      <c r="D8" s="15" t="s">
        <v>278</v>
      </c>
      <c r="E8" s="15" t="s">
        <v>240</v>
      </c>
      <c r="F8" s="17" t="n">
        <v>0</v>
      </c>
      <c r="G8" s="17" t="n">
        <v>100</v>
      </c>
      <c r="H8" s="22" t="n">
        <f aca="false">IF(OR(A8="",G8=""),"",G8-F8)</f>
        <v>100</v>
      </c>
      <c r="I8" s="21" t="str">
        <f aca="false">IF(OR(A8="",H8=""),"",IF(H8&gt;0,"ARTIQ",IF(H8&lt;0,"EKSIK","SIFIR")))</f>
        <v>ARTIQ</v>
      </c>
      <c r="J8" s="15" t="s">
        <v>234</v>
      </c>
      <c r="K8" s="15" t="s">
        <v>241</v>
      </c>
      <c r="L8" s="17" t="n">
        <v>500</v>
      </c>
      <c r="M8" s="15" t="s">
        <v>234</v>
      </c>
      <c r="N8" s="15" t="s">
        <v>234</v>
      </c>
      <c r="O8" s="15" t="s">
        <v>408</v>
      </c>
    </row>
    <row r="9" customFormat="false" ht="15" hidden="false" customHeight="true" outlineLevel="0" collapsed="false">
      <c r="A9" s="15"/>
      <c r="B9" s="15"/>
      <c r="C9" s="15"/>
      <c r="D9" s="15"/>
      <c r="E9" s="15"/>
      <c r="F9" s="17"/>
      <c r="G9" s="17"/>
      <c r="H9" s="22" t="str">
        <f aca="false">IF(OR(A9="",G9=""),"",G9-F9)</f>
        <v/>
      </c>
      <c r="I9" s="21" t="str">
        <f aca="false">IF(OR(A9="",H9=""),"",IF(H9&gt;0,"ARTIQ",IF(H9&lt;0,"EKSIK","SIFIR")))</f>
        <v/>
      </c>
      <c r="J9" s="15"/>
      <c r="K9" s="15"/>
      <c r="L9" s="17"/>
      <c r="M9" s="15"/>
      <c r="N9" s="15"/>
      <c r="O9" s="15"/>
    </row>
    <row r="10" customFormat="false" ht="15" hidden="false" customHeight="true" outlineLevel="0" collapsed="false">
      <c r="A10" s="15"/>
      <c r="B10" s="15"/>
      <c r="C10" s="15"/>
      <c r="D10" s="15"/>
      <c r="E10" s="15"/>
      <c r="F10" s="17"/>
      <c r="G10" s="17"/>
      <c r="H10" s="22" t="str">
        <f aca="false">IF(OR(A10="",G10=""),"",G10-F10)</f>
        <v/>
      </c>
      <c r="I10" s="21" t="str">
        <f aca="false">IF(OR(A10="",H10=""),"",IF(H10&gt;0,"ARTIQ",IF(H10&lt;0,"EKSIK","SIFIR")))</f>
        <v/>
      </c>
      <c r="J10" s="15"/>
      <c r="K10" s="15"/>
      <c r="L10" s="17"/>
      <c r="M10" s="15"/>
      <c r="N10" s="15"/>
      <c r="O10" s="15"/>
    </row>
    <row r="11" customFormat="false" ht="15" hidden="false" customHeight="true" outlineLevel="0" collapsed="false">
      <c r="A11" s="15"/>
      <c r="B11" s="15"/>
      <c r="C11" s="15"/>
      <c r="D11" s="15"/>
      <c r="E11" s="15"/>
      <c r="F11" s="17"/>
      <c r="G11" s="17"/>
      <c r="H11" s="22" t="str">
        <f aca="false">IF(OR(A11="",G11=""),"",G11-F11)</f>
        <v/>
      </c>
      <c r="I11" s="21" t="str">
        <f aca="false">IF(OR(A11="",H11=""),"",IF(H11&gt;0,"ARTIQ",IF(H11&lt;0,"EKSIK","SIFIR")))</f>
        <v/>
      </c>
      <c r="J11" s="15"/>
      <c r="K11" s="15"/>
      <c r="L11" s="17"/>
      <c r="M11" s="15"/>
      <c r="N11" s="15"/>
      <c r="O11" s="15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7"/>
      <c r="G12" s="17"/>
      <c r="H12" s="22" t="str">
        <f aca="false">IF(OR(A12="",G12=""),"",G12-F12)</f>
        <v/>
      </c>
      <c r="I12" s="21" t="str">
        <f aca="false">IF(OR(A12="",H12=""),"",IF(H12&gt;0,"ARTIQ",IF(H12&lt;0,"EKSIK","SIFIR")))</f>
        <v/>
      </c>
      <c r="J12" s="15"/>
      <c r="K12" s="15"/>
      <c r="L12" s="17"/>
      <c r="M12" s="15"/>
      <c r="N12" s="15"/>
      <c r="O12" s="15"/>
    </row>
    <row r="13" customFormat="false" ht="15" hidden="false" customHeight="true" outlineLevel="0" collapsed="false">
      <c r="A13" s="15"/>
      <c r="B13" s="15"/>
      <c r="C13" s="15"/>
      <c r="D13" s="15"/>
      <c r="E13" s="15"/>
      <c r="F13" s="17"/>
      <c r="G13" s="17"/>
      <c r="H13" s="22" t="str">
        <f aca="false">IF(OR(A13="",G13=""),"",G13-F13)</f>
        <v/>
      </c>
      <c r="I13" s="21" t="str">
        <f aca="false">IF(OR(A13="",H13=""),"",IF(H13&gt;0,"ARTIQ",IF(H13&lt;0,"EKSIK","SIFIR")))</f>
        <v/>
      </c>
      <c r="J13" s="15"/>
      <c r="K13" s="15"/>
      <c r="L13" s="17"/>
      <c r="M13" s="15"/>
      <c r="N13" s="15"/>
      <c r="O13" s="15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7"/>
      <c r="G14" s="17"/>
      <c r="H14" s="22" t="str">
        <f aca="false">IF(OR(A14="",G14=""),"",G14-F14)</f>
        <v/>
      </c>
      <c r="I14" s="21" t="str">
        <f aca="false">IF(OR(A14="",H14=""),"",IF(H14&gt;0,"ARTIQ",IF(H14&lt;0,"EKSIK","SIFIR")))</f>
        <v/>
      </c>
      <c r="J14" s="15"/>
      <c r="K14" s="15"/>
      <c r="L14" s="17"/>
      <c r="M14" s="15"/>
      <c r="N14" s="15"/>
      <c r="O14" s="15"/>
    </row>
    <row r="15" customFormat="false" ht="15" hidden="false" customHeight="true" outlineLevel="0" collapsed="false">
      <c r="A15" s="15"/>
      <c r="B15" s="15"/>
      <c r="C15" s="15"/>
      <c r="D15" s="15"/>
      <c r="E15" s="15"/>
      <c r="F15" s="17"/>
      <c r="G15" s="17"/>
      <c r="H15" s="22" t="str">
        <f aca="false">IF(OR(A15="",G15=""),"",G15-F15)</f>
        <v/>
      </c>
      <c r="I15" s="21" t="str">
        <f aca="false">IF(OR(A15="",H15=""),"",IF(H15&gt;0,"ARTIQ",IF(H15&lt;0,"EKSIK","SIFIR")))</f>
        <v/>
      </c>
      <c r="J15" s="15"/>
      <c r="K15" s="15"/>
      <c r="L15" s="17"/>
      <c r="M15" s="15"/>
      <c r="N15" s="15"/>
      <c r="O15" s="15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7"/>
      <c r="G16" s="17"/>
      <c r="H16" s="22" t="str">
        <f aca="false">IF(OR(A16="",G16=""),"",G16-F16)</f>
        <v/>
      </c>
      <c r="I16" s="21" t="str">
        <f aca="false">IF(OR(A16="",H16=""),"",IF(H16&gt;0,"ARTIQ",IF(H16&lt;0,"EKSIK","SIFIR")))</f>
        <v/>
      </c>
      <c r="J16" s="15"/>
      <c r="K16" s="15"/>
      <c r="L16" s="17"/>
      <c r="M16" s="15"/>
      <c r="N16" s="15"/>
      <c r="O16" s="15"/>
    </row>
    <row r="17" customFormat="false" ht="15" hidden="false" customHeight="true" outlineLevel="0" collapsed="false">
      <c r="A17" s="15"/>
      <c r="B17" s="15"/>
      <c r="C17" s="15"/>
      <c r="D17" s="15"/>
      <c r="E17" s="15"/>
      <c r="F17" s="17"/>
      <c r="G17" s="17"/>
      <c r="H17" s="22" t="str">
        <f aca="false">IF(OR(A17="",G17=""),"",G17-F17)</f>
        <v/>
      </c>
      <c r="I17" s="21" t="str">
        <f aca="false">IF(OR(A17="",H17=""),"",IF(H17&gt;0,"ARTIQ",IF(H17&lt;0,"EKSIK","SIFIR")))</f>
        <v/>
      </c>
      <c r="J17" s="15"/>
      <c r="K17" s="15"/>
      <c r="L17" s="17"/>
      <c r="M17" s="15"/>
      <c r="N17" s="15"/>
      <c r="O17" s="15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7"/>
      <c r="G18" s="17"/>
      <c r="H18" s="22" t="str">
        <f aca="false">IF(OR(A18="",G18=""),"",G18-F18)</f>
        <v/>
      </c>
      <c r="I18" s="21" t="str">
        <f aca="false">IF(OR(A18="",H18=""),"",IF(H18&gt;0,"ARTIQ",IF(H18&lt;0,"EKSIK","SIFIR")))</f>
        <v/>
      </c>
      <c r="J18" s="15"/>
      <c r="K18" s="15"/>
      <c r="L18" s="17"/>
      <c r="M18" s="15"/>
      <c r="N18" s="15"/>
      <c r="O18" s="15"/>
    </row>
    <row r="19" customFormat="false" ht="15" hidden="false" customHeight="true" outlineLevel="0" collapsed="false">
      <c r="A19" s="15"/>
      <c r="B19" s="15"/>
      <c r="C19" s="15"/>
      <c r="D19" s="15"/>
      <c r="E19" s="15"/>
      <c r="F19" s="17"/>
      <c r="G19" s="17"/>
      <c r="H19" s="22" t="str">
        <f aca="false">IF(OR(A19="",G19=""),"",G19-F19)</f>
        <v/>
      </c>
      <c r="I19" s="21" t="str">
        <f aca="false">IF(OR(A19="",H19=""),"",IF(H19&gt;0,"ARTIQ",IF(H19&lt;0,"EKSIK","SIFIR")))</f>
        <v/>
      </c>
      <c r="J19" s="15"/>
      <c r="K19" s="15"/>
      <c r="L19" s="17"/>
      <c r="M19" s="15"/>
      <c r="N19" s="15"/>
      <c r="O19" s="15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7"/>
      <c r="G20" s="17"/>
      <c r="H20" s="22" t="str">
        <f aca="false">IF(OR(A20="",G20=""),"",G20-F20)</f>
        <v/>
      </c>
      <c r="I20" s="21" t="str">
        <f aca="false">IF(OR(A20="",H20=""),"",IF(H20&gt;0,"ARTIQ",IF(H20&lt;0,"EKSIK","SIFIR")))</f>
        <v/>
      </c>
      <c r="J20" s="15"/>
      <c r="K20" s="15"/>
      <c r="L20" s="17"/>
      <c r="M20" s="15"/>
      <c r="N20" s="15"/>
      <c r="O20" s="15"/>
    </row>
    <row r="21" customFormat="false" ht="15" hidden="false" customHeight="true" outlineLevel="0" collapsed="false">
      <c r="A21" s="15"/>
      <c r="B21" s="15"/>
      <c r="C21" s="15"/>
      <c r="D21" s="15"/>
      <c r="E21" s="15"/>
      <c r="F21" s="17"/>
      <c r="G21" s="17"/>
      <c r="H21" s="22" t="str">
        <f aca="false">IF(OR(A21="",G21=""),"",G21-F21)</f>
        <v/>
      </c>
      <c r="I21" s="21" t="str">
        <f aca="false">IF(OR(A21="",H21=""),"",IF(H21&gt;0,"ARTIQ",IF(H21&lt;0,"EKSIK","SIFIR")))</f>
        <v/>
      </c>
      <c r="J21" s="15"/>
      <c r="K21" s="15"/>
      <c r="L21" s="17"/>
      <c r="M21" s="15"/>
      <c r="N21" s="15"/>
      <c r="O21" s="15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7"/>
      <c r="G22" s="17"/>
      <c r="H22" s="22" t="str">
        <f aca="false">IF(OR(A22="",G22=""),"",G22-F22)</f>
        <v/>
      </c>
      <c r="I22" s="21" t="str">
        <f aca="false">IF(OR(A22="",H22=""),"",IF(H22&gt;0,"ARTIQ",IF(H22&lt;0,"EKSIK","SIFIR")))</f>
        <v/>
      </c>
      <c r="J22" s="15"/>
      <c r="K22" s="15"/>
      <c r="L22" s="17"/>
      <c r="M22" s="15"/>
      <c r="N22" s="15"/>
      <c r="O22" s="15"/>
    </row>
    <row r="23" customFormat="false" ht="15" hidden="false" customHeight="true" outlineLevel="0" collapsed="false">
      <c r="A23" s="15"/>
      <c r="B23" s="15"/>
      <c r="C23" s="15"/>
      <c r="D23" s="15"/>
      <c r="E23" s="15"/>
      <c r="F23" s="17"/>
      <c r="G23" s="17"/>
      <c r="H23" s="22" t="str">
        <f aca="false">IF(OR(A23="",G23=""),"",G23-F23)</f>
        <v/>
      </c>
      <c r="I23" s="21" t="str">
        <f aca="false">IF(OR(A23="",H23=""),"",IF(H23&gt;0,"ARTIQ",IF(H23&lt;0,"EKSIK","SIFIR")))</f>
        <v/>
      </c>
      <c r="J23" s="15"/>
      <c r="K23" s="15"/>
      <c r="L23" s="17"/>
      <c r="M23" s="15"/>
      <c r="N23" s="15"/>
      <c r="O23" s="15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7"/>
      <c r="G24" s="17"/>
      <c r="H24" s="22" t="str">
        <f aca="false">IF(OR(A24="",G24=""),"",G24-F24)</f>
        <v/>
      </c>
      <c r="I24" s="21" t="str">
        <f aca="false">IF(OR(A24="",H24=""),"",IF(H24&gt;0,"ARTIQ",IF(H24&lt;0,"EKSIK","SIFIR")))</f>
        <v/>
      </c>
      <c r="J24" s="15"/>
      <c r="K24" s="15"/>
      <c r="L24" s="17"/>
      <c r="M24" s="15"/>
      <c r="N24" s="15"/>
      <c r="O24" s="15"/>
    </row>
    <row r="26" customFormat="false" ht="15" hidden="false" customHeight="true" outlineLevel="0" collapsed="false">
      <c r="A26" s="3" t="s">
        <v>417</v>
      </c>
    </row>
  </sheetData>
  <conditionalFormatting sqref="I6:I30">
    <cfRule type="expression" priority="2" aboveAverage="0" equalAverage="0" bottom="0" percent="0" rank="0" text="" dxfId="13">
      <formula>$I6="ARTIQ"</formula>
    </cfRule>
    <cfRule type="expression" priority="3" aboveAverage="0" equalAverage="0" bottom="0" percent="0" rank="0" text="" dxfId="8">
      <formula>$I6="EKSIK"</formula>
    </cfRule>
    <cfRule type="expression" priority="4" aboveAverage="0" equalAverage="0" bottom="0" percent="0" rank="0" text="" dxfId="7">
      <formula>$I6="SIFIR"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9" min="7" style="1" width="11"/>
    <col collapsed="false" customWidth="true" hidden="false" outlineLevel="0" max="12" min="10" style="1" width="1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0"/>
  </cols>
  <sheetData>
    <row r="1" customFormat="false" ht="17.25" hidden="false" customHeight="true" outlineLevel="0" collapsed="false">
      <c r="A1" s="2" t="s">
        <v>418</v>
      </c>
    </row>
    <row r="3" customFormat="false" ht="23.25" hidden="false" customHeight="true" outlineLevel="0" collapsed="false">
      <c r="A3" s="8" t="s">
        <v>386</v>
      </c>
      <c r="B3" s="8" t="s">
        <v>87</v>
      </c>
      <c r="C3" s="8" t="s">
        <v>91</v>
      </c>
      <c r="D3" s="8" t="s">
        <v>94</v>
      </c>
      <c r="E3" s="8" t="s">
        <v>115</v>
      </c>
      <c r="F3" s="8" t="s">
        <v>168</v>
      </c>
      <c r="G3" s="8" t="s">
        <v>171</v>
      </c>
      <c r="H3" s="8" t="s">
        <v>175</v>
      </c>
      <c r="I3" s="8" t="s">
        <v>179</v>
      </c>
      <c r="J3" s="8" t="s">
        <v>183</v>
      </c>
      <c r="K3" s="8" t="s">
        <v>186</v>
      </c>
      <c r="L3" s="8" t="s">
        <v>193</v>
      </c>
      <c r="M3" s="8" t="s">
        <v>54</v>
      </c>
      <c r="N3" s="8" t="s">
        <v>189</v>
      </c>
      <c r="O3" s="8" t="s">
        <v>130</v>
      </c>
    </row>
    <row r="4" customFormat="false" ht="15" hidden="false" customHeight="true" outlineLevel="0" collapsed="false">
      <c r="A4" s="20" t="n">
        <v>46266</v>
      </c>
      <c r="B4" s="15" t="s">
        <v>296</v>
      </c>
      <c r="C4" s="15" t="s">
        <v>356</v>
      </c>
      <c r="D4" s="15" t="s">
        <v>360</v>
      </c>
      <c r="E4" s="15" t="s">
        <v>392</v>
      </c>
      <c r="F4" s="16" t="n">
        <v>15</v>
      </c>
      <c r="G4" s="16" t="n">
        <v>14</v>
      </c>
      <c r="H4" s="16" t="n">
        <v>1</v>
      </c>
      <c r="I4" s="16" t="n">
        <v>0</v>
      </c>
      <c r="J4" s="17" t="n">
        <v>2.1</v>
      </c>
      <c r="K4" s="17" t="n">
        <v>2.3</v>
      </c>
      <c r="L4" s="15" t="s">
        <v>419</v>
      </c>
      <c r="M4" s="15" t="s">
        <v>242</v>
      </c>
      <c r="N4" s="25" t="n">
        <f aca="false">IF(OR(B4="",J4="",J4=0),"",(K4-J4)/J4)</f>
        <v>0.0952380952380951</v>
      </c>
      <c r="O4" s="21" t="str">
        <f aca="false">IF(OR(B4="",N4=""),"",IF(ABS(N4)&gt;0.15,"Qırmızı",IF(ABS(N4)&gt;0.05,"Narıncı","Yaşıl")))</f>
        <v>Narıncı</v>
      </c>
    </row>
    <row r="5" customFormat="false" ht="15" hidden="false" customHeight="true" outlineLevel="0" collapsed="false">
      <c r="A5" s="20" t="n">
        <v>46267</v>
      </c>
      <c r="B5" s="15" t="s">
        <v>307</v>
      </c>
      <c r="C5" s="15" t="s">
        <v>366</v>
      </c>
      <c r="D5" s="15" t="s">
        <v>370</v>
      </c>
      <c r="E5" s="15" t="s">
        <v>395</v>
      </c>
      <c r="F5" s="16" t="n">
        <v>20</v>
      </c>
      <c r="G5" s="16" t="n">
        <v>19</v>
      </c>
      <c r="H5" s="16" t="n">
        <v>1</v>
      </c>
      <c r="I5" s="16" t="n">
        <v>2</v>
      </c>
      <c r="J5" s="17" t="n">
        <v>1.8</v>
      </c>
      <c r="K5" s="17" t="n">
        <v>2</v>
      </c>
      <c r="L5" s="15" t="s">
        <v>419</v>
      </c>
      <c r="M5" s="15" t="s">
        <v>242</v>
      </c>
      <c r="N5" s="25" t="n">
        <f aca="false">IF(OR(B5="",J5="",J5=0),"",(K5-J5)/J5)</f>
        <v>0.111111111111111</v>
      </c>
      <c r="O5" s="21" t="str">
        <f aca="false">IF(OR(B5="",N5=""),"",IF(ABS(N5)&gt;0.15,"Qırmızı",IF(ABS(N5)&gt;0.05,"Narıncı","Yaşıl")))</f>
        <v>Narıncı</v>
      </c>
    </row>
    <row r="6" customFormat="false" ht="23.25" hidden="false" customHeight="true" outlineLevel="0" collapsed="false">
      <c r="A6" s="20" t="n">
        <v>46268</v>
      </c>
      <c r="B6" s="15" t="s">
        <v>317</v>
      </c>
      <c r="C6" s="15" t="s">
        <v>380</v>
      </c>
      <c r="D6" s="15" t="s">
        <v>381</v>
      </c>
      <c r="E6" s="15" t="s">
        <v>420</v>
      </c>
      <c r="F6" s="16" t="n">
        <v>5</v>
      </c>
      <c r="G6" s="16" t="n">
        <v>5</v>
      </c>
      <c r="H6" s="16" t="n">
        <v>0</v>
      </c>
      <c r="I6" s="16" t="n">
        <v>0</v>
      </c>
      <c r="J6" s="17" t="n">
        <v>1.25</v>
      </c>
      <c r="K6" s="17" t="n">
        <v>1.4</v>
      </c>
      <c r="L6" s="15" t="s">
        <v>421</v>
      </c>
      <c r="M6" s="15" t="s">
        <v>260</v>
      </c>
      <c r="N6" s="25" t="n">
        <f aca="false">IF(OR(B6="",J6="",J6=0),"",(K6-J6)/J6)</f>
        <v>0.12</v>
      </c>
      <c r="O6" s="21" t="str">
        <f aca="false">IF(OR(B6="",N6=""),"",IF(ABS(N6)&gt;0.15,"Qırmızı",IF(ABS(N6)&gt;0.05,"Narıncı","Yaşıl")))</f>
        <v>Narıncı</v>
      </c>
    </row>
    <row r="7" customFormat="false" ht="15" hidden="false" customHeight="true" outlineLevel="0" collapsed="false">
      <c r="A7" s="20" t="n">
        <v>46269</v>
      </c>
      <c r="B7" s="15" t="s">
        <v>313</v>
      </c>
      <c r="C7" s="15" t="s">
        <v>376</v>
      </c>
      <c r="D7" s="15" t="s">
        <v>377</v>
      </c>
      <c r="E7" s="15" t="s">
        <v>422</v>
      </c>
      <c r="F7" s="16" t="n">
        <v>12</v>
      </c>
      <c r="G7" s="16" t="n">
        <v>11</v>
      </c>
      <c r="H7" s="16" t="n">
        <v>1</v>
      </c>
      <c r="I7" s="16" t="n">
        <v>0</v>
      </c>
      <c r="J7" s="17" t="n">
        <v>0.96</v>
      </c>
      <c r="K7" s="17" t="n">
        <v>1.2</v>
      </c>
      <c r="L7" s="15" t="s">
        <v>423</v>
      </c>
      <c r="M7" s="15" t="s">
        <v>254</v>
      </c>
      <c r="N7" s="25" t="n">
        <f aca="false">IF(OR(B7="",J7="",J7=0),"",(K7-J7)/J7)</f>
        <v>0.25</v>
      </c>
      <c r="O7" s="21" t="str">
        <f aca="false">IF(OR(B7="",N7=""),"",IF(ABS(N7)&gt;0.15,"Qırmızı",IF(ABS(N7)&gt;0.05,"Narıncı","Yaşıl")))</f>
        <v>Qırmızı</v>
      </c>
    </row>
    <row r="8" customFormat="false" ht="23.25" hidden="false" customHeight="true" outlineLevel="0" collapsed="false">
      <c r="A8" s="20" t="n">
        <v>46270</v>
      </c>
      <c r="B8" s="15" t="s">
        <v>320</v>
      </c>
      <c r="C8" s="15" t="s">
        <v>380</v>
      </c>
      <c r="D8" s="15" t="s">
        <v>381</v>
      </c>
      <c r="E8" s="15" t="s">
        <v>424</v>
      </c>
      <c r="F8" s="16" t="n">
        <v>4</v>
      </c>
      <c r="G8" s="16" t="n">
        <v>4</v>
      </c>
      <c r="H8" s="16" t="n">
        <v>0</v>
      </c>
      <c r="I8" s="16" t="n">
        <v>0</v>
      </c>
      <c r="J8" s="17" t="n">
        <v>0.8</v>
      </c>
      <c r="K8" s="17" t="n">
        <v>0.85</v>
      </c>
      <c r="L8" s="15" t="s">
        <v>421</v>
      </c>
      <c r="M8" s="15" t="s">
        <v>260</v>
      </c>
      <c r="N8" s="25" t="n">
        <f aca="false">IF(OR(B8="",J8="",J8=0),"",(K8-J8)/J8)</f>
        <v>0.0624999999999999</v>
      </c>
      <c r="O8" s="21" t="str">
        <f aca="false">IF(OR(B8="",N8=""),"",IF(ABS(N8)&gt;0.15,"Qırmızı",IF(ABS(N8)&gt;0.05,"Narıncı","Yaşıl")))</f>
        <v>Narıncı</v>
      </c>
    </row>
    <row r="9" customFormat="false" ht="23.25" hidden="false" customHeight="true" outlineLevel="0" collapsed="false">
      <c r="A9" s="20" t="n">
        <v>46271</v>
      </c>
      <c r="B9" s="15" t="s">
        <v>323</v>
      </c>
      <c r="C9" s="15" t="s">
        <v>380</v>
      </c>
      <c r="D9" s="15" t="s">
        <v>381</v>
      </c>
      <c r="E9" s="15" t="s">
        <v>425</v>
      </c>
      <c r="F9" s="16" t="n">
        <v>6</v>
      </c>
      <c r="G9" s="16" t="n">
        <v>5</v>
      </c>
      <c r="H9" s="16" t="n">
        <v>1</v>
      </c>
      <c r="I9" s="16" t="n">
        <v>0</v>
      </c>
      <c r="J9" s="17" t="n">
        <v>1.1</v>
      </c>
      <c r="K9" s="17" t="n">
        <v>1.3</v>
      </c>
      <c r="L9" s="15" t="s">
        <v>426</v>
      </c>
      <c r="M9" s="15" t="s">
        <v>260</v>
      </c>
      <c r="N9" s="25" t="n">
        <f aca="false">IF(OR(B9="",J9="",J9=0),"",(K9-J9)/J9)</f>
        <v>0.181818181818182</v>
      </c>
      <c r="O9" s="21" t="str">
        <f aca="false">IF(OR(B9="",N9=""),"",IF(ABS(N9)&gt;0.15,"Qırmızı",IF(ABS(N9)&gt;0.05,"Narıncı","Yaşıl")))</f>
        <v>Qırmızı</v>
      </c>
    </row>
    <row r="10" customFormat="false" ht="15" hidden="false" customHeight="true" outlineLevel="0" collapsed="false">
      <c r="A10" s="20"/>
      <c r="B10" s="15"/>
      <c r="C10" s="15"/>
      <c r="D10" s="15"/>
      <c r="E10" s="15"/>
      <c r="F10" s="16"/>
      <c r="G10" s="16"/>
      <c r="H10" s="16"/>
      <c r="I10" s="16"/>
      <c r="J10" s="17"/>
      <c r="K10" s="17"/>
      <c r="L10" s="15"/>
      <c r="M10" s="15"/>
      <c r="N10" s="25" t="str">
        <f aca="false">IF(OR(B10="",J10="",J10=0),"",(K10-J10)/J10)</f>
        <v/>
      </c>
      <c r="O10" s="21" t="str">
        <f aca="false">IF(OR(B10="",N10=""),"",IF(ABS(N10)&gt;0.15,"Qırmızı",IF(ABS(N10)&gt;0.05,"Narıncı","Yaşıl")))</f>
        <v/>
      </c>
    </row>
    <row r="11" customFormat="false" ht="15" hidden="false" customHeight="true" outlineLevel="0" collapsed="false">
      <c r="A11" s="20"/>
      <c r="B11" s="15"/>
      <c r="C11" s="15"/>
      <c r="D11" s="15"/>
      <c r="E11" s="15"/>
      <c r="F11" s="16"/>
      <c r="G11" s="16"/>
      <c r="H11" s="16"/>
      <c r="I11" s="16"/>
      <c r="J11" s="17"/>
      <c r="K11" s="17"/>
      <c r="L11" s="15"/>
      <c r="M11" s="15"/>
      <c r="N11" s="25" t="str">
        <f aca="false">IF(OR(B11="",J11="",J11=0),"",(K11-J11)/J11)</f>
        <v/>
      </c>
      <c r="O11" s="21" t="str">
        <f aca="false">IF(OR(B11="",N11=""),"",IF(ABS(N11)&gt;0.15,"Qırmızı",IF(ABS(N11)&gt;0.05,"Narıncı","Yaşıl")))</f>
        <v/>
      </c>
    </row>
    <row r="12" customFormat="false" ht="15" hidden="false" customHeight="true" outlineLevel="0" collapsed="false">
      <c r="A12" s="20"/>
      <c r="B12" s="15"/>
      <c r="C12" s="15"/>
      <c r="D12" s="15"/>
      <c r="E12" s="15"/>
      <c r="F12" s="16"/>
      <c r="G12" s="16"/>
      <c r="H12" s="16"/>
      <c r="I12" s="16"/>
      <c r="J12" s="17"/>
      <c r="K12" s="17"/>
      <c r="L12" s="15"/>
      <c r="M12" s="15"/>
      <c r="N12" s="25" t="str">
        <f aca="false">IF(OR(B12="",J12="",J12=0),"",(K12-J12)/J12)</f>
        <v/>
      </c>
      <c r="O12" s="21" t="str">
        <f aca="false">IF(OR(B12="",N12=""),"",IF(ABS(N12)&gt;0.15,"Qırmızı",IF(ABS(N12)&gt;0.05,"Narıncı","Yaşıl")))</f>
        <v/>
      </c>
    </row>
    <row r="13" customFormat="false" ht="15" hidden="false" customHeight="true" outlineLevel="0" collapsed="false">
      <c r="A13" s="20"/>
      <c r="B13" s="15"/>
      <c r="C13" s="15"/>
      <c r="D13" s="15"/>
      <c r="E13" s="15"/>
      <c r="F13" s="16"/>
      <c r="G13" s="16"/>
      <c r="H13" s="16"/>
      <c r="I13" s="16"/>
      <c r="J13" s="17"/>
      <c r="K13" s="17"/>
      <c r="L13" s="15"/>
      <c r="M13" s="15"/>
      <c r="N13" s="25" t="str">
        <f aca="false">IF(OR(B13="",J13="",J13=0),"",(K13-J13)/J13)</f>
        <v/>
      </c>
      <c r="O13" s="21" t="str">
        <f aca="false">IF(OR(B13="",N13=""),"",IF(ABS(N13)&gt;0.15,"Qırmızı",IF(ABS(N13)&gt;0.05,"Narıncı","Yaşıl")))</f>
        <v/>
      </c>
    </row>
    <row r="14" customFormat="false" ht="15" hidden="false" customHeight="true" outlineLevel="0" collapsed="false">
      <c r="A14" s="20"/>
      <c r="B14" s="15"/>
      <c r="C14" s="15"/>
      <c r="D14" s="15"/>
      <c r="E14" s="15"/>
      <c r="F14" s="16"/>
      <c r="G14" s="16"/>
      <c r="H14" s="16"/>
      <c r="I14" s="16"/>
      <c r="J14" s="17"/>
      <c r="K14" s="17"/>
      <c r="L14" s="15"/>
      <c r="M14" s="15"/>
      <c r="N14" s="25" t="str">
        <f aca="false">IF(OR(B14="",J14="",J14=0),"",(K14-J14)/J14)</f>
        <v/>
      </c>
      <c r="O14" s="21" t="str">
        <f aca="false">IF(OR(B14="",N14=""),"",IF(ABS(N14)&gt;0.15,"Qırmızı",IF(ABS(N14)&gt;0.05,"Narıncı","Yaşıl")))</f>
        <v/>
      </c>
    </row>
    <row r="15" customFormat="false" ht="15" hidden="false" customHeight="true" outlineLevel="0" collapsed="false">
      <c r="A15" s="20"/>
      <c r="B15" s="15"/>
      <c r="C15" s="15"/>
      <c r="D15" s="15"/>
      <c r="E15" s="15"/>
      <c r="F15" s="16"/>
      <c r="G15" s="16"/>
      <c r="H15" s="16"/>
      <c r="I15" s="16"/>
      <c r="J15" s="17"/>
      <c r="K15" s="17"/>
      <c r="L15" s="15"/>
      <c r="M15" s="15"/>
      <c r="N15" s="25" t="str">
        <f aca="false">IF(OR(B15="",J15="",J15=0),"",(K15-J15)/J15)</f>
        <v/>
      </c>
      <c r="O15" s="21" t="str">
        <f aca="false">IF(OR(B15="",N15=""),"",IF(ABS(N15)&gt;0.15,"Qırmızı",IF(ABS(N15)&gt;0.05,"Narıncı","Yaşıl")))</f>
        <v/>
      </c>
    </row>
    <row r="16" customFormat="false" ht="15" hidden="false" customHeight="true" outlineLevel="0" collapsed="false">
      <c r="A16" s="20"/>
      <c r="B16" s="15"/>
      <c r="C16" s="15"/>
      <c r="D16" s="15"/>
      <c r="E16" s="15"/>
      <c r="F16" s="16"/>
      <c r="G16" s="16"/>
      <c r="H16" s="16"/>
      <c r="I16" s="16"/>
      <c r="J16" s="17"/>
      <c r="K16" s="17"/>
      <c r="L16" s="15"/>
      <c r="M16" s="15"/>
      <c r="N16" s="25" t="str">
        <f aca="false">IF(OR(B16="",J16="",J16=0),"",(K16-J16)/J16)</f>
        <v/>
      </c>
      <c r="O16" s="21" t="str">
        <f aca="false">IF(OR(B16="",N16=""),"",IF(ABS(N16)&gt;0.15,"Qırmızı",IF(ABS(N16)&gt;0.05,"Narıncı","Yaşıl")))</f>
        <v/>
      </c>
    </row>
    <row r="17" customFormat="false" ht="15" hidden="false" customHeight="true" outlineLevel="0" collapsed="false">
      <c r="A17" s="20"/>
      <c r="B17" s="15"/>
      <c r="C17" s="15"/>
      <c r="D17" s="15"/>
      <c r="E17" s="15"/>
      <c r="F17" s="16"/>
      <c r="G17" s="16"/>
      <c r="H17" s="16"/>
      <c r="I17" s="16"/>
      <c r="J17" s="17"/>
      <c r="K17" s="17"/>
      <c r="L17" s="15"/>
      <c r="M17" s="15"/>
      <c r="N17" s="25" t="str">
        <f aca="false">IF(OR(B17="",J17="",J17=0),"",(K17-J17)/J17)</f>
        <v/>
      </c>
      <c r="O17" s="21" t="str">
        <f aca="false">IF(OR(B17="",N17=""),"",IF(ABS(N17)&gt;0.15,"Qırmızı",IF(ABS(N17)&gt;0.05,"Narıncı","Yaşıl")))</f>
        <v/>
      </c>
    </row>
    <row r="18" customFormat="false" ht="15" hidden="false" customHeight="true" outlineLevel="0" collapsed="false">
      <c r="A18" s="20"/>
      <c r="B18" s="15"/>
      <c r="C18" s="15"/>
      <c r="D18" s="15"/>
      <c r="E18" s="15"/>
      <c r="F18" s="16"/>
      <c r="G18" s="16"/>
      <c r="H18" s="16"/>
      <c r="I18" s="16"/>
      <c r="J18" s="17"/>
      <c r="K18" s="17"/>
      <c r="L18" s="15"/>
      <c r="M18" s="15"/>
      <c r="N18" s="25" t="str">
        <f aca="false">IF(OR(B18="",J18="",J18=0),"",(K18-J18)/J18)</f>
        <v/>
      </c>
      <c r="O18" s="21" t="str">
        <f aca="false">IF(OR(B18="",N18=""),"",IF(ABS(N18)&gt;0.15,"Qırmızı",IF(ABS(N18)&gt;0.05,"Narıncı","Yaşıl")))</f>
        <v/>
      </c>
    </row>
    <row r="19" customFormat="false" ht="15" hidden="false" customHeight="true" outlineLevel="0" collapsed="false">
      <c r="A19" s="20"/>
      <c r="B19" s="15"/>
      <c r="C19" s="15"/>
      <c r="D19" s="15"/>
      <c r="E19" s="15"/>
      <c r="F19" s="16"/>
      <c r="G19" s="16"/>
      <c r="H19" s="16"/>
      <c r="I19" s="16"/>
      <c r="J19" s="17"/>
      <c r="K19" s="17"/>
      <c r="L19" s="15"/>
      <c r="M19" s="15"/>
      <c r="N19" s="25" t="str">
        <f aca="false">IF(OR(B19="",J19="",J19=0),"",(K19-J19)/J19)</f>
        <v/>
      </c>
      <c r="O19" s="21" t="str">
        <f aca="false">IF(OR(B19="",N19=""),"",IF(ABS(N19)&gt;0.15,"Qırmızı",IF(ABS(N19)&gt;0.05,"Narıncı","Yaşıl")))</f>
        <v/>
      </c>
    </row>
    <row r="20" customFormat="false" ht="15" hidden="false" customHeight="true" outlineLevel="0" collapsed="false">
      <c r="A20" s="20"/>
      <c r="B20" s="15"/>
      <c r="C20" s="15"/>
      <c r="D20" s="15"/>
      <c r="E20" s="15"/>
      <c r="F20" s="16"/>
      <c r="G20" s="16"/>
      <c r="H20" s="16"/>
      <c r="I20" s="16"/>
      <c r="J20" s="17"/>
      <c r="K20" s="17"/>
      <c r="L20" s="15"/>
      <c r="M20" s="15"/>
      <c r="N20" s="25" t="str">
        <f aca="false">IF(OR(B20="",J20="",J20=0),"",(K20-J20)/J20)</f>
        <v/>
      </c>
      <c r="O20" s="21" t="str">
        <f aca="false">IF(OR(B20="",N20=""),"",IF(ABS(N20)&gt;0.15,"Qırmızı",IF(ABS(N20)&gt;0.05,"Narıncı","Yaşıl")))</f>
        <v/>
      </c>
    </row>
    <row r="21" customFormat="false" ht="15" hidden="false" customHeight="true" outlineLevel="0" collapsed="false">
      <c r="A21" s="20"/>
      <c r="B21" s="15"/>
      <c r="C21" s="15"/>
      <c r="D21" s="15"/>
      <c r="E21" s="15"/>
      <c r="F21" s="16"/>
      <c r="G21" s="16"/>
      <c r="H21" s="16"/>
      <c r="I21" s="16"/>
      <c r="J21" s="17"/>
      <c r="K21" s="17"/>
      <c r="L21" s="15"/>
      <c r="M21" s="15"/>
      <c r="N21" s="25" t="str">
        <f aca="false">IF(OR(B21="",J21="",J21=0),"",(K21-J21)/J21)</f>
        <v/>
      </c>
      <c r="O21" s="21" t="str">
        <f aca="false">IF(OR(B21="",N21=""),"",IF(ABS(N21)&gt;0.15,"Qırmızı",IF(ABS(N21)&gt;0.05,"Narıncı","Yaşıl")))</f>
        <v/>
      </c>
    </row>
  </sheetData>
  <autoFilter ref="A3:O21"/>
  <conditionalFormatting sqref="O4:O30">
    <cfRule type="expression" priority="2" aboveAverage="0" equalAverage="0" bottom="0" percent="0" rank="0" text="" dxfId="7">
      <formula>$O4="Yaşıl"</formula>
    </cfRule>
    <cfRule type="expression" priority="3" aboveAverage="0" equalAverage="0" bottom="0" percent="0" rank="0" text="" dxfId="13">
      <formula>$O4="Narıncı"</formula>
    </cfRule>
    <cfRule type="expression" priority="4" aboveAverage="0" equalAverage="0" bottom="0" percent="0" rank="0" text="" dxfId="8">
      <formula>$O4="Qırmızı"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12"/>
    <col collapsed="false" customWidth="true" hidden="false" outlineLevel="0" max="7" min="6" style="1" width="11"/>
    <col collapsed="false" customWidth="true" hidden="false" outlineLevel="0" max="9" min="8" style="1" width="12"/>
  </cols>
  <sheetData>
    <row r="1" customFormat="false" ht="17.25" hidden="false" customHeight="true" outlineLevel="0" collapsed="false">
      <c r="A1" s="2" t="s">
        <v>427</v>
      </c>
    </row>
    <row r="3" customFormat="false" ht="15" hidden="false" customHeight="true" outlineLevel="0" collapsed="false">
      <c r="A3" s="1" t="s">
        <v>428</v>
      </c>
    </row>
    <row r="4" customFormat="false" ht="23.25" hidden="false" customHeight="true" outlineLevel="0" collapsed="false">
      <c r="A4" s="8" t="s">
        <v>87</v>
      </c>
      <c r="B4" s="8" t="s">
        <v>168</v>
      </c>
      <c r="C4" s="8" t="s">
        <v>171</v>
      </c>
      <c r="D4" s="8" t="s">
        <v>175</v>
      </c>
      <c r="E4" s="8" t="s">
        <v>179</v>
      </c>
      <c r="F4" s="8" t="s">
        <v>183</v>
      </c>
      <c r="G4" s="8" t="s">
        <v>186</v>
      </c>
      <c r="H4" s="8" t="s">
        <v>189</v>
      </c>
      <c r="I4" s="8" t="s">
        <v>80</v>
      </c>
    </row>
    <row r="5" customFormat="false" ht="15" hidden="false" customHeight="true" outlineLevel="0" collapsed="false">
      <c r="A5" s="15" t="s">
        <v>317</v>
      </c>
      <c r="B5" s="22" t="n">
        <f aca="false">IF(A5="","",SUMIF(7_Fakt!B:B,A5,7_Fakt!F:F))</f>
        <v>5</v>
      </c>
      <c r="C5" s="22" t="n">
        <f aca="false">IF(A5="","",SUMIF(7_Fakt!B:B,A5,7_Fakt!G:G))</f>
        <v>5</v>
      </c>
      <c r="D5" s="22" t="n">
        <f aca="false">IF(A5="","",SUMIF(7_Fakt!B:B,A5,7_Fakt!H:H))</f>
        <v>0</v>
      </c>
      <c r="E5" s="22" t="n">
        <f aca="false">IF(A5="","",SUMIF(7_Fakt!B:B,A5,7_Fakt!I:I))</f>
        <v>0</v>
      </c>
      <c r="F5" s="22" t="n">
        <f aca="false">IF(A5="","",SUMIF(7_Fakt!B:B,A5,7_Fakt!J:J))</f>
        <v>1.25</v>
      </c>
      <c r="G5" s="22" t="n">
        <f aca="false">IF(A5="","",SUMIF(7_Fakt!B:B,A5,7_Fakt!K:K))</f>
        <v>1.4</v>
      </c>
      <c r="H5" s="25" t="n">
        <f aca="false">IF(OR(A5="",F5="",F5=0),"",(G5-F5)/F5)</f>
        <v>0.12</v>
      </c>
      <c r="I5" s="25" t="n">
        <f aca="false">IF(OR(A5="",B5="",B5=0),"",D5/B5)</f>
        <v>0</v>
      </c>
    </row>
    <row r="6" customFormat="false" ht="15" hidden="false" customHeight="true" outlineLevel="0" collapsed="false">
      <c r="A6" s="15" t="s">
        <v>320</v>
      </c>
      <c r="B6" s="22" t="n">
        <f aca="false">IF(A6="","",SUMIF(7_Fakt!B:B,A6,7_Fakt!F:F))</f>
        <v>4</v>
      </c>
      <c r="C6" s="22" t="n">
        <f aca="false">IF(A6="","",SUMIF(7_Fakt!B:B,A6,7_Fakt!G:G))</f>
        <v>4</v>
      </c>
      <c r="D6" s="22" t="n">
        <f aca="false">IF(A6="","",SUMIF(7_Fakt!B:B,A6,7_Fakt!H:H))</f>
        <v>0</v>
      </c>
      <c r="E6" s="22" t="n">
        <f aca="false">IF(A6="","",SUMIF(7_Fakt!B:B,A6,7_Fakt!I:I))</f>
        <v>0</v>
      </c>
      <c r="F6" s="22" t="n">
        <f aca="false">IF(A6="","",SUMIF(7_Fakt!B:B,A6,7_Fakt!J:J))</f>
        <v>0.8</v>
      </c>
      <c r="G6" s="22" t="n">
        <f aca="false">IF(A6="","",SUMIF(7_Fakt!B:B,A6,7_Fakt!K:K))</f>
        <v>0.85</v>
      </c>
      <c r="H6" s="25" t="n">
        <f aca="false">IF(OR(A6="",F6="",F6=0),"",(G6-F6)/F6)</f>
        <v>0.0624999999999999</v>
      </c>
      <c r="I6" s="25" t="n">
        <f aca="false">IF(OR(A6="",B6="",B6=0),"",D6/B6)</f>
        <v>0</v>
      </c>
    </row>
    <row r="7" customFormat="false" ht="15" hidden="false" customHeight="true" outlineLevel="0" collapsed="false">
      <c r="A7" s="15" t="s">
        <v>323</v>
      </c>
      <c r="B7" s="22" t="n">
        <f aca="false">IF(A7="","",SUMIF(7_Fakt!B:B,A7,7_Fakt!F:F))</f>
        <v>6</v>
      </c>
      <c r="C7" s="22" t="n">
        <f aca="false">IF(A7="","",SUMIF(7_Fakt!B:B,A7,7_Fakt!G:G))</f>
        <v>5</v>
      </c>
      <c r="D7" s="22" t="n">
        <f aca="false">IF(A7="","",SUMIF(7_Fakt!B:B,A7,7_Fakt!H:H))</f>
        <v>1</v>
      </c>
      <c r="E7" s="22" t="n">
        <f aca="false">IF(A7="","",SUMIF(7_Fakt!B:B,A7,7_Fakt!I:I))</f>
        <v>0</v>
      </c>
      <c r="F7" s="22" t="n">
        <f aca="false">IF(A7="","",SUMIF(7_Fakt!B:B,A7,7_Fakt!J:J))</f>
        <v>1.1</v>
      </c>
      <c r="G7" s="22" t="n">
        <f aca="false">IF(A7="","",SUMIF(7_Fakt!B:B,A7,7_Fakt!K:K))</f>
        <v>1.3</v>
      </c>
      <c r="H7" s="25" t="n">
        <f aca="false">IF(OR(A7="",F7="",F7=0),"",(G7-F7)/F7)</f>
        <v>0.181818181818182</v>
      </c>
      <c r="I7" s="25" t="n">
        <f aca="false">IF(OR(A7="",B7="",B7=0),"",D7/B7)</f>
        <v>0.166666666666667</v>
      </c>
    </row>
    <row r="8" customFormat="false" ht="15" hidden="false" customHeight="true" outlineLevel="0" collapsed="false">
      <c r="A8" s="15" t="s">
        <v>296</v>
      </c>
      <c r="B8" s="22" t="n">
        <f aca="false">IF(A8="","",SUMIF(7_Fakt!B:B,A8,7_Fakt!F:F))</f>
        <v>15</v>
      </c>
      <c r="C8" s="22" t="n">
        <f aca="false">IF(A8="","",SUMIF(7_Fakt!B:B,A8,7_Fakt!G:G))</f>
        <v>14</v>
      </c>
      <c r="D8" s="22" t="n">
        <f aca="false">IF(A8="","",SUMIF(7_Fakt!B:B,A8,7_Fakt!H:H))</f>
        <v>1</v>
      </c>
      <c r="E8" s="22" t="n">
        <f aca="false">IF(A8="","",SUMIF(7_Fakt!B:B,A8,7_Fakt!I:I))</f>
        <v>0</v>
      </c>
      <c r="F8" s="22" t="n">
        <f aca="false">IF(A8="","",SUMIF(7_Fakt!B:B,A8,7_Fakt!J:J))</f>
        <v>2.1</v>
      </c>
      <c r="G8" s="22" t="n">
        <f aca="false">IF(A8="","",SUMIF(7_Fakt!B:B,A8,7_Fakt!K:K))</f>
        <v>2.3</v>
      </c>
      <c r="H8" s="25" t="n">
        <f aca="false">IF(OR(A8="",F8="",F8=0),"",(G8-F8)/F8)</f>
        <v>0.0952380952380951</v>
      </c>
      <c r="I8" s="25" t="n">
        <f aca="false">IF(OR(A8="",B8="",B8=0),"",D8/B8)</f>
        <v>0.0666666666666667</v>
      </c>
    </row>
    <row r="9" customFormat="false" ht="15" hidden="false" customHeight="true" outlineLevel="0" collapsed="false">
      <c r="A9" s="15" t="s">
        <v>307</v>
      </c>
      <c r="B9" s="22" t="n">
        <f aca="false">IF(A9="","",SUMIF(7_Fakt!B:B,A9,7_Fakt!F:F))</f>
        <v>20</v>
      </c>
      <c r="C9" s="22" t="n">
        <f aca="false">IF(A9="","",SUMIF(7_Fakt!B:B,A9,7_Fakt!G:G))</f>
        <v>19</v>
      </c>
      <c r="D9" s="22" t="n">
        <f aca="false">IF(A9="","",SUMIF(7_Fakt!B:B,A9,7_Fakt!H:H))</f>
        <v>1</v>
      </c>
      <c r="E9" s="22" t="n">
        <f aca="false">IF(A9="","",SUMIF(7_Fakt!B:B,A9,7_Fakt!I:I))</f>
        <v>2</v>
      </c>
      <c r="F9" s="22" t="n">
        <f aca="false">IF(A9="","",SUMIF(7_Fakt!B:B,A9,7_Fakt!J:J))</f>
        <v>1.8</v>
      </c>
      <c r="G9" s="22" t="n">
        <f aca="false">IF(A9="","",SUMIF(7_Fakt!B:B,A9,7_Fakt!K:K))</f>
        <v>2</v>
      </c>
      <c r="H9" s="25" t="n">
        <f aca="false">IF(OR(A9="",F9="",F9=0),"",(G9-F9)/F9)</f>
        <v>0.111111111111111</v>
      </c>
      <c r="I9" s="25" t="n">
        <f aca="false">IF(OR(A9="",B9="",B9=0),"",D9/B9)</f>
        <v>0.05</v>
      </c>
    </row>
    <row r="10" customFormat="false" ht="15" hidden="false" customHeight="true" outlineLevel="0" collapsed="false">
      <c r="A10" s="15" t="s">
        <v>313</v>
      </c>
      <c r="B10" s="22" t="n">
        <f aca="false">IF(A10="","",SUMIF(7_Fakt!B:B,A10,7_Fakt!F:F))</f>
        <v>12</v>
      </c>
      <c r="C10" s="22" t="n">
        <f aca="false">IF(A10="","",SUMIF(7_Fakt!B:B,A10,7_Fakt!G:G))</f>
        <v>11</v>
      </c>
      <c r="D10" s="22" t="n">
        <f aca="false">IF(A10="","",SUMIF(7_Fakt!B:B,A10,7_Fakt!H:H))</f>
        <v>1</v>
      </c>
      <c r="E10" s="22" t="n">
        <f aca="false">IF(A10="","",SUMIF(7_Fakt!B:B,A10,7_Fakt!I:I))</f>
        <v>0</v>
      </c>
      <c r="F10" s="22" t="n">
        <f aca="false">IF(A10="","",SUMIF(7_Fakt!B:B,A10,7_Fakt!J:J))</f>
        <v>0.96</v>
      </c>
      <c r="G10" s="22" t="n">
        <f aca="false">IF(A10="","",SUMIF(7_Fakt!B:B,A10,7_Fakt!K:K))</f>
        <v>1.2</v>
      </c>
      <c r="H10" s="25" t="n">
        <f aca="false">IF(OR(A10="",F10="",F10=0),"",(G10-F10)/F10)</f>
        <v>0.25</v>
      </c>
      <c r="I10" s="25" t="n">
        <f aca="false">IF(OR(A10="",B10="",B10=0),"",D10/B10)</f>
        <v>0.0833333333333333</v>
      </c>
    </row>
    <row r="13" customFormat="false" ht="15" hidden="false" customHeight="true" outlineLevel="0" collapsed="false">
      <c r="A13" s="1" t="s">
        <v>429</v>
      </c>
    </row>
    <row r="14" customFormat="false" ht="15" hidden="false" customHeight="true" outlineLevel="0" collapsed="false">
      <c r="A14" s="24" t="s">
        <v>111</v>
      </c>
      <c r="B14" s="24" t="s">
        <v>430</v>
      </c>
      <c r="C14" s="24" t="s">
        <v>76</v>
      </c>
    </row>
    <row r="15" customFormat="false" ht="15" hidden="false" customHeight="true" outlineLevel="0" collapsed="false">
      <c r="A15" s="15" t="s">
        <v>205</v>
      </c>
      <c r="B15" s="26" t="n">
        <f aca="false">IF(A15="","",COUNTIF(4_Hareket!B:B,A15))</f>
        <v>2</v>
      </c>
      <c r="C15" s="22" t="n">
        <f aca="false">IF(A15="","",SUMIF(4_Hareket!B:B,A15,4_Hareket!G:G))</f>
        <v>102</v>
      </c>
    </row>
    <row r="16" customFormat="false" ht="15" hidden="false" customHeight="true" outlineLevel="0" collapsed="false">
      <c r="A16" s="15" t="s">
        <v>208</v>
      </c>
      <c r="B16" s="26" t="n">
        <f aca="false">IF(A16="","",COUNTIF(4_Hareket!B:B,A16))</f>
        <v>1</v>
      </c>
      <c r="C16" s="22" t="n">
        <f aca="false">IF(A16="","",SUMIF(4_Hareket!B:B,A16,4_Hareket!G:G))</f>
        <v>-3</v>
      </c>
    </row>
    <row r="19" customFormat="false" ht="15" hidden="false" customHeight="true" outlineLevel="0" collapsed="false">
      <c r="A19" s="4" t="s">
        <v>431</v>
      </c>
    </row>
    <row r="20" customFormat="false" ht="15" hidden="false" customHeight="true" outlineLevel="0" collapsed="false">
      <c r="A20" s="8" t="s">
        <v>33</v>
      </c>
      <c r="B20" s="8" t="s">
        <v>132</v>
      </c>
      <c r="C20" s="8" t="s">
        <v>47</v>
      </c>
      <c r="D20" s="8" t="s">
        <v>148</v>
      </c>
    </row>
    <row r="21" customFormat="false" ht="15" hidden="false" customHeight="true" outlineLevel="0" collapsed="false">
      <c r="A21" s="15" t="s">
        <v>229</v>
      </c>
      <c r="B21" s="22" t="n">
        <f aca="false">IF(A21="","",IFERROR(VLOOKUP(A21,5_Saldo!A:E,5,FALSE()),0))</f>
        <v>72</v>
      </c>
      <c r="C21" s="22" t="n">
        <f aca="false">IF(A21="","",IFERROR(VLOOKUP(A21,5_Saldo!A:J,10,FALSE()),0))</f>
        <v>50</v>
      </c>
      <c r="D21" s="21" t="str">
        <f aca="false">IF(OR(A21="",B21="",C21=""),"",IF(B21&gt;=C21,"Kifayət","Çatışmır"))</f>
        <v>Kifayət</v>
      </c>
    </row>
    <row r="22" customFormat="false" ht="15" hidden="false" customHeight="true" outlineLevel="0" collapsed="false">
      <c r="A22" s="15" t="s">
        <v>276</v>
      </c>
      <c r="B22" s="22" t="n">
        <f aca="false">IF(A22="","",IFERROR(VLOOKUP(A22,5_Saldo!A:E,5,FALSE()),0))</f>
        <v>19</v>
      </c>
      <c r="C22" s="22" t="n">
        <f aca="false">IF(A22="","",IFERROR(VLOOKUP(A22,5_Saldo!A:J,10,FALSE()),0))</f>
        <v>15</v>
      </c>
      <c r="D22" s="21" t="str">
        <f aca="false">IF(OR(A22="",B22="",C22=""),"",IF(B22&gt;=C22,"Kifayət","Çatışmır"))</f>
        <v>Kifayət</v>
      </c>
    </row>
    <row r="23" customFormat="false" ht="15" hidden="false" customHeight="true" outlineLevel="0" collapsed="false">
      <c r="A23" s="15" t="s">
        <v>296</v>
      </c>
      <c r="B23" s="22" t="n">
        <f aca="false">IF(A23="","",IFERROR(VLOOKUP(A23,5_Saldo!A:E,5,FALSE()),0))</f>
        <v>6</v>
      </c>
      <c r="C23" s="22" t="n">
        <f aca="false">IF(A23="","",IFERROR(VLOOKUP(A23,5_Saldo!A:J,10,FALSE()),0))</f>
        <v>5</v>
      </c>
      <c r="D23" s="21" t="str">
        <f aca="false">IF(OR(A23="",B23="",C23=""),"",IF(B23&gt;=C23,"Kifayət","Çatışmır"))</f>
        <v>Kifayət</v>
      </c>
    </row>
  </sheetData>
  <conditionalFormatting sqref="D21:D30">
    <cfRule type="expression" priority="2" aboveAverage="0" equalAverage="0" bottom="0" percent="0" rank="0" text="" dxfId="14">
      <formula>$D21="Kifayət"</formula>
    </cfRule>
    <cfRule type="expression" priority="3" aboveAverage="0" equalAverage="0" bottom="0" percent="0" rank="0" text="" dxfId="15">
      <formula>$D21="Çatışmır"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13" min="5" style="1" width="12"/>
  </cols>
  <sheetData>
    <row r="1" customFormat="false" ht="17.25" hidden="false" customHeight="true" outlineLevel="0" collapsed="false">
      <c r="A1" s="2" t="s">
        <v>432</v>
      </c>
    </row>
    <row r="2" customFormat="false" ht="15" hidden="false" customHeight="true" outlineLevel="0" collapsed="false">
      <c r="A2" s="3" t="s">
        <v>433</v>
      </c>
    </row>
    <row r="4" customFormat="false" ht="15" hidden="false" customHeight="true" outlineLevel="0" collapsed="false">
      <c r="A4" s="4" t="s">
        <v>434</v>
      </c>
    </row>
    <row r="5" customFormat="false" ht="15" hidden="false" customHeight="true" outlineLevel="0" collapsed="false">
      <c r="A5" s="23" t="s">
        <v>386</v>
      </c>
      <c r="B5" s="23" t="s">
        <v>120</v>
      </c>
      <c r="C5" s="23" t="s">
        <v>54</v>
      </c>
      <c r="D5" s="23" t="s">
        <v>111</v>
      </c>
      <c r="E5" s="27" t="s">
        <v>127</v>
      </c>
    </row>
    <row r="6" customFormat="false" ht="15" hidden="false" customHeight="true" outlineLevel="0" collapsed="false">
      <c r="A6" s="20"/>
      <c r="B6" s="15"/>
      <c r="C6" s="15"/>
      <c r="D6" s="15" t="s">
        <v>196</v>
      </c>
      <c r="E6" s="15" t="s">
        <v>20</v>
      </c>
    </row>
    <row r="8" customFormat="false" ht="15" hidden="false" customHeight="true" outlineLevel="0" collapsed="false">
      <c r="A8" s="19" t="s">
        <v>33</v>
      </c>
      <c r="B8" s="19" t="s">
        <v>36</v>
      </c>
      <c r="C8" s="19" t="s">
        <v>39</v>
      </c>
      <c r="D8" s="19" t="s">
        <v>41</v>
      </c>
      <c r="E8" s="19" t="s">
        <v>76</v>
      </c>
      <c r="F8" s="19" t="s">
        <v>43</v>
      </c>
      <c r="G8" s="19" t="s">
        <v>130</v>
      </c>
      <c r="H8" s="19" t="s">
        <v>222</v>
      </c>
    </row>
    <row r="9" customFormat="false" ht="15" hidden="false" customHeight="true" outlineLevel="0" collapsed="false">
      <c r="A9" s="15"/>
      <c r="B9" s="15"/>
      <c r="C9" s="15"/>
      <c r="D9" s="15"/>
      <c r="E9" s="17"/>
      <c r="F9" s="15"/>
      <c r="G9" s="15"/>
      <c r="H9" s="15"/>
    </row>
    <row r="10" customFormat="false" ht="15" hidden="false" customHeight="true" outlineLevel="0" collapsed="false">
      <c r="A10" s="15"/>
      <c r="B10" s="15"/>
      <c r="C10" s="15"/>
      <c r="D10" s="15"/>
      <c r="E10" s="17"/>
      <c r="F10" s="15"/>
      <c r="G10" s="15"/>
      <c r="H10" s="15"/>
    </row>
    <row r="11" customFormat="false" ht="15" hidden="false" customHeight="true" outlineLevel="0" collapsed="false">
      <c r="A11" s="15"/>
      <c r="B11" s="15"/>
      <c r="C11" s="15"/>
      <c r="D11" s="15"/>
      <c r="E11" s="17"/>
      <c r="F11" s="15"/>
      <c r="G11" s="15"/>
      <c r="H11" s="15"/>
    </row>
    <row r="12" customFormat="false" ht="15" hidden="false" customHeight="true" outlineLevel="0" collapsed="false">
      <c r="A12" s="15"/>
      <c r="B12" s="15"/>
      <c r="C12" s="15"/>
      <c r="D12" s="15"/>
      <c r="E12" s="17"/>
      <c r="F12" s="15"/>
      <c r="G12" s="15"/>
      <c r="H12" s="15"/>
    </row>
    <row r="13" customFormat="false" ht="15" hidden="false" customHeight="true" outlineLevel="0" collapsed="false">
      <c r="A13" s="28" t="s">
        <v>435</v>
      </c>
      <c r="B13" s="29"/>
      <c r="C13" s="29"/>
      <c r="D13" s="29"/>
      <c r="E13" s="30"/>
      <c r="F13" s="29"/>
      <c r="G13" s="29"/>
      <c r="H13" s="29"/>
    </row>
    <row r="14" customFormat="false" ht="15" hidden="false" customHeight="true" outlineLevel="0" collapsed="false">
      <c r="A14" s="3"/>
    </row>
    <row r="15" customFormat="false" ht="15" hidden="false" customHeight="false" outlineLevel="0" collapsed="false">
      <c r="A15" s="31" t="s">
        <v>436</v>
      </c>
    </row>
    <row r="16" customFormat="false" ht="15" hidden="false" customHeight="true" outlineLevel="0" collapsed="false">
      <c r="A16" s="23" t="s">
        <v>386</v>
      </c>
      <c r="B16" s="27" t="s">
        <v>115</v>
      </c>
      <c r="C16" s="27" t="s">
        <v>91</v>
      </c>
      <c r="D16" s="27" t="s">
        <v>87</v>
      </c>
      <c r="E16" s="27" t="s">
        <v>111</v>
      </c>
      <c r="F16" s="27" t="s">
        <v>54</v>
      </c>
    </row>
    <row r="17" customFormat="false" ht="15" hidden="false" customHeight="true" outlineLevel="0" collapsed="false">
      <c r="A17" s="20"/>
      <c r="B17" s="15"/>
      <c r="C17" s="15"/>
      <c r="D17" s="15"/>
      <c r="E17" s="15" t="s">
        <v>199</v>
      </c>
      <c r="F17" s="15"/>
    </row>
    <row r="18" customFormat="false" ht="15" hidden="false" customHeight="true" outlineLevel="0" collapsed="false">
      <c r="A18" s="32"/>
      <c r="B18" s="29"/>
      <c r="C18" s="29"/>
      <c r="D18" s="29"/>
      <c r="E18" s="29"/>
    </row>
    <row r="19" customFormat="false" ht="15" hidden="false" customHeight="false" outlineLevel="0" collapsed="false">
      <c r="A19" s="33" t="s">
        <v>33</v>
      </c>
      <c r="B19" s="33" t="s">
        <v>36</v>
      </c>
      <c r="C19" s="33" t="s">
        <v>76</v>
      </c>
      <c r="D19" s="33" t="s">
        <v>43</v>
      </c>
      <c r="E19" s="33" t="s">
        <v>222</v>
      </c>
    </row>
    <row r="20" customFormat="false" ht="15" hidden="false" customHeight="true" outlineLevel="0" collapsed="false">
      <c r="A20" s="15"/>
      <c r="B20" s="15"/>
      <c r="C20" s="17"/>
      <c r="D20" s="15"/>
      <c r="E20" s="15"/>
      <c r="F20" s="7"/>
    </row>
    <row r="21" customFormat="false" ht="15" hidden="false" customHeight="true" outlineLevel="0" collapsed="false">
      <c r="A21" s="15"/>
      <c r="B21" s="15"/>
      <c r="C21" s="17"/>
      <c r="D21" s="15"/>
      <c r="E21" s="17"/>
      <c r="F21" s="29"/>
    </row>
    <row r="22" customFormat="false" ht="15" hidden="false" customHeight="true" outlineLevel="0" collapsed="false">
      <c r="A22" s="15"/>
      <c r="B22" s="15"/>
      <c r="C22" s="17"/>
      <c r="D22" s="15"/>
      <c r="E22" s="17"/>
      <c r="F22" s="29"/>
    </row>
    <row r="23" customFormat="false" ht="15" hidden="false" customHeight="true" outlineLevel="0" collapsed="false">
      <c r="A23" s="15"/>
      <c r="B23" s="15"/>
      <c r="C23" s="17"/>
      <c r="D23" s="15"/>
      <c r="E23" s="17"/>
      <c r="F23" s="29"/>
    </row>
    <row r="24" customFormat="false" ht="15" hidden="false" customHeight="true" outlineLevel="0" collapsed="false">
      <c r="A24" s="28" t="s">
        <v>437</v>
      </c>
      <c r="B24" s="29"/>
      <c r="C24" s="30"/>
      <c r="D24" s="29"/>
      <c r="E24" s="34"/>
      <c r="F24" s="29"/>
    </row>
    <row r="25" customFormat="false" ht="15" hidden="false" customHeight="true" outlineLevel="0" collapsed="false">
      <c r="A25" s="29"/>
      <c r="B25" s="29"/>
      <c r="C25" s="30"/>
      <c r="D25" s="29"/>
      <c r="E25" s="34"/>
      <c r="F25" s="29"/>
    </row>
    <row r="26" customFormat="false" ht="15" hidden="false" customHeight="true" outlineLevel="0" collapsed="false">
      <c r="A26" s="4" t="s">
        <v>438</v>
      </c>
    </row>
    <row r="28" customFormat="false" ht="15" hidden="false" customHeight="true" outlineLevel="0" collapsed="false">
      <c r="A28" s="8" t="s">
        <v>386</v>
      </c>
      <c r="B28" s="8" t="s">
        <v>87</v>
      </c>
      <c r="C28" s="8" t="s">
        <v>91</v>
      </c>
      <c r="D28" s="8" t="s">
        <v>94</v>
      </c>
      <c r="E28" s="8" t="s">
        <v>115</v>
      </c>
      <c r="F28" s="8" t="s">
        <v>168</v>
      </c>
      <c r="G28" s="8" t="s">
        <v>171</v>
      </c>
      <c r="H28" s="8" t="s">
        <v>175</v>
      </c>
      <c r="I28" s="8" t="s">
        <v>179</v>
      </c>
      <c r="J28" s="8" t="s">
        <v>183</v>
      </c>
      <c r="K28" s="8" t="s">
        <v>186</v>
      </c>
      <c r="L28" s="8" t="s">
        <v>193</v>
      </c>
      <c r="M28" s="8" t="s">
        <v>54</v>
      </c>
    </row>
    <row r="29" customFormat="false" ht="15" hidden="false" customHeight="false" outlineLevel="0" collapsed="false">
      <c r="A29" s="20"/>
      <c r="B29" s="15"/>
      <c r="C29" s="15"/>
      <c r="D29" s="15"/>
      <c r="E29" s="15"/>
      <c r="F29" s="15"/>
      <c r="G29" s="15"/>
      <c r="H29" s="15"/>
      <c r="I29" s="15"/>
      <c r="J29" s="17"/>
      <c r="K29" s="17"/>
      <c r="L29" s="15"/>
      <c r="M29" s="15"/>
    </row>
    <row r="30" customFormat="false" ht="23.25" hidden="false" customHeight="true" outlineLevel="0" collapsed="false">
      <c r="A30" s="20"/>
      <c r="B30" s="15"/>
      <c r="C30" s="15"/>
      <c r="D30" s="15"/>
      <c r="E30" s="15"/>
      <c r="F30" s="15"/>
      <c r="G30" s="15"/>
      <c r="H30" s="15"/>
      <c r="I30" s="15"/>
      <c r="J30" s="17"/>
      <c r="K30" s="17"/>
      <c r="L30" s="15"/>
      <c r="M30" s="15"/>
    </row>
    <row r="31" customFormat="false" ht="15" hidden="false" customHeight="true" outlineLevel="0" collapsed="false">
      <c r="A31" s="20"/>
      <c r="B31" s="15"/>
      <c r="C31" s="15"/>
      <c r="D31" s="15"/>
      <c r="E31" s="15"/>
      <c r="F31" s="16"/>
      <c r="G31" s="16"/>
      <c r="H31" s="16"/>
      <c r="I31" s="16"/>
      <c r="J31" s="17"/>
      <c r="K31" s="17"/>
      <c r="L31" s="15"/>
      <c r="M31" s="15"/>
    </row>
    <row r="32" customFormat="false" ht="15" hidden="false" customHeight="true" outlineLevel="0" collapsed="false">
      <c r="A32" s="20"/>
      <c r="B32" s="15"/>
      <c r="C32" s="15"/>
      <c r="D32" s="15"/>
      <c r="E32" s="15"/>
      <c r="F32" s="16"/>
      <c r="G32" s="16"/>
      <c r="H32" s="16"/>
      <c r="I32" s="16"/>
      <c r="J32" s="17"/>
      <c r="K32" s="17"/>
      <c r="L32" s="15"/>
      <c r="M32" s="15"/>
    </row>
    <row r="33" customFormat="false" ht="15" hidden="false" customHeight="true" outlineLevel="0" collapsed="false">
      <c r="A33" s="32"/>
      <c r="B33" s="29"/>
      <c r="C33" s="29"/>
      <c r="D33" s="29"/>
      <c r="E33" s="29"/>
      <c r="F33" s="35"/>
      <c r="G33" s="35"/>
      <c r="H33" s="35"/>
      <c r="I33" s="35"/>
      <c r="J33" s="30"/>
      <c r="K33" s="30"/>
      <c r="L33" s="29"/>
      <c r="M33" s="29"/>
    </row>
    <row r="34" customFormat="false" ht="15" hidden="false" customHeight="true" outlineLevel="0" collapsed="false">
      <c r="A34" s="32" t="s">
        <v>439</v>
      </c>
      <c r="B34" s="29"/>
      <c r="C34" s="29"/>
      <c r="D34" s="29"/>
      <c r="E34" s="29"/>
      <c r="F34" s="35"/>
      <c r="G34" s="35"/>
      <c r="H34" s="35"/>
      <c r="I34" s="35"/>
      <c r="J34" s="30"/>
      <c r="K34" s="30"/>
      <c r="L34" s="29"/>
      <c r="M34" s="29"/>
    </row>
    <row r="35" customFormat="false" ht="15" hidden="false" customHeight="true" outlineLevel="0" collapsed="false">
      <c r="A35" s="36" t="s">
        <v>33</v>
      </c>
      <c r="B35" s="37" t="s">
        <v>36</v>
      </c>
      <c r="C35" s="37" t="s">
        <v>76</v>
      </c>
      <c r="D35" s="37" t="s">
        <v>43</v>
      </c>
      <c r="E35" s="37" t="s">
        <v>222</v>
      </c>
      <c r="F35" s="35"/>
      <c r="G35" s="35"/>
      <c r="H35" s="35"/>
      <c r="I35" s="35"/>
      <c r="J35" s="30"/>
      <c r="K35" s="30"/>
      <c r="L35" s="29"/>
      <c r="M35" s="29"/>
    </row>
    <row r="36" customFormat="false" ht="15" hidden="false" customHeight="false" outlineLevel="0" collapsed="false">
      <c r="A36" s="15"/>
      <c r="B36" s="15"/>
      <c r="C36" s="17"/>
      <c r="D36" s="15"/>
      <c r="E36" s="15"/>
    </row>
    <row r="37" customFormat="false" ht="15" hidden="false" customHeight="true" outlineLevel="0" collapsed="false">
      <c r="A37" s="15"/>
      <c r="B37" s="15"/>
      <c r="C37" s="17"/>
      <c r="D37" s="15"/>
      <c r="E37" s="15"/>
    </row>
    <row r="38" customFormat="false" ht="15" hidden="false" customHeight="true" outlineLevel="0" collapsed="false">
      <c r="A38" s="38" t="s">
        <v>440</v>
      </c>
      <c r="B38" s="7"/>
      <c r="C38" s="7"/>
      <c r="D38" s="7"/>
      <c r="E38" s="7"/>
    </row>
    <row r="39" customFormat="false" ht="15" hidden="false" customHeight="true" outlineLevel="0" collapsed="false">
      <c r="A39" s="29"/>
      <c r="B39" s="29"/>
      <c r="C39" s="30"/>
      <c r="D39" s="29"/>
      <c r="E39" s="29"/>
    </row>
    <row r="40" customFormat="false" ht="15" hidden="false" customHeight="true" outlineLevel="0" collapsed="false">
      <c r="A40" s="39" t="s">
        <v>441</v>
      </c>
      <c r="B40" s="29"/>
      <c r="C40" s="30"/>
      <c r="D40" s="29"/>
      <c r="E40" s="29"/>
    </row>
    <row r="41" customFormat="false" ht="15" hidden="false" customHeight="true" outlineLevel="0" collapsed="false">
      <c r="A41" s="40" t="s">
        <v>386</v>
      </c>
      <c r="B41" s="40" t="s">
        <v>115</v>
      </c>
      <c r="C41" s="41" t="s">
        <v>111</v>
      </c>
      <c r="D41" s="40" t="s">
        <v>130</v>
      </c>
      <c r="E41" s="29"/>
    </row>
    <row r="42" customFormat="false" ht="15" hidden="false" customHeight="true" outlineLevel="0" collapsed="false">
      <c r="A42" s="20"/>
      <c r="B42" s="15"/>
      <c r="C42" s="15" t="s">
        <v>202</v>
      </c>
      <c r="D42" s="15" t="s">
        <v>400</v>
      </c>
    </row>
    <row r="44" customFormat="false" ht="15" hidden="false" customHeight="true" outlineLevel="0" collapsed="false">
      <c r="A44" s="33" t="s">
        <v>33</v>
      </c>
      <c r="B44" s="33" t="s">
        <v>36</v>
      </c>
      <c r="C44" s="33" t="s">
        <v>76</v>
      </c>
      <c r="D44" s="33" t="s">
        <v>43</v>
      </c>
      <c r="E44" s="33" t="s">
        <v>222</v>
      </c>
    </row>
    <row r="45" customFormat="false" ht="15" hidden="false" customHeight="true" outlineLevel="0" collapsed="false">
      <c r="A45" s="15"/>
      <c r="B45" s="15"/>
      <c r="C45" s="17"/>
      <c r="D45" s="15"/>
      <c r="E45" s="15"/>
      <c r="F45" s="7"/>
      <c r="G45" s="7"/>
    </row>
    <row r="46" customFormat="false" ht="15" hidden="false" customHeight="true" outlineLevel="0" collapsed="false">
      <c r="A46" s="20"/>
      <c r="B46" s="15"/>
      <c r="C46" s="17"/>
      <c r="D46" s="15"/>
      <c r="E46" s="17"/>
      <c r="F46" s="29"/>
      <c r="G46" s="29"/>
    </row>
    <row r="47" customFormat="false" ht="15" hidden="false" customHeight="true" outlineLevel="0" collapsed="false">
      <c r="A47" s="20"/>
      <c r="B47" s="15"/>
      <c r="C47" s="17"/>
      <c r="D47" s="15"/>
      <c r="E47" s="17"/>
      <c r="F47" s="29"/>
      <c r="G47" s="29"/>
    </row>
    <row r="48" customFormat="false" ht="15" hidden="false" customHeight="true" outlineLevel="0" collapsed="false">
      <c r="A48" s="42" t="s">
        <v>442</v>
      </c>
      <c r="B48" s="29"/>
      <c r="C48" s="29"/>
      <c r="D48" s="29"/>
      <c r="E48" s="30"/>
      <c r="F48" s="29"/>
      <c r="G48" s="29"/>
    </row>
    <row r="49" customFormat="false" ht="15" hidden="false" customHeight="true" outlineLevel="0" collapsed="false">
      <c r="A49" s="32"/>
      <c r="B49" s="29"/>
      <c r="C49" s="29"/>
      <c r="D49" s="29"/>
      <c r="E49" s="30"/>
      <c r="F49" s="29"/>
      <c r="G49" s="29"/>
    </row>
    <row r="50" customFormat="false" ht="15" hidden="false" customHeight="true" outlineLevel="0" collapsed="false">
      <c r="A50" s="4" t="s">
        <v>443</v>
      </c>
    </row>
    <row r="51" customFormat="false" ht="15" hidden="false" customHeight="false" outlineLevel="0" collapsed="false">
      <c r="A51" s="27" t="s">
        <v>386</v>
      </c>
      <c r="B51" s="27" t="s">
        <v>61</v>
      </c>
      <c r="C51" s="27" t="s">
        <v>444</v>
      </c>
    </row>
    <row r="52" customFormat="false" ht="15" hidden="false" customHeight="true" outlineLevel="0" collapsed="false">
      <c r="A52" s="20"/>
      <c r="B52" s="15"/>
      <c r="C52" s="15"/>
    </row>
    <row r="53" customFormat="false" ht="15" hidden="false" customHeight="true" outlineLevel="0" collapsed="false">
      <c r="A53" s="43"/>
      <c r="B53" s="43"/>
      <c r="C53" s="43"/>
    </row>
    <row r="54" customFormat="false" ht="15" hidden="false" customHeight="true" outlineLevel="0" collapsed="false">
      <c r="A54" s="44" t="s">
        <v>67</v>
      </c>
      <c r="B54" s="45" t="s">
        <v>70</v>
      </c>
      <c r="C54" s="45" t="s">
        <v>327</v>
      </c>
      <c r="D54" s="8" t="s">
        <v>76</v>
      </c>
      <c r="E54" s="8" t="s">
        <v>43</v>
      </c>
      <c r="F54" s="8" t="s">
        <v>80</v>
      </c>
      <c r="G54" s="8" t="s">
        <v>84</v>
      </c>
      <c r="H54" s="8" t="s">
        <v>222</v>
      </c>
    </row>
    <row r="55" customFormat="false" ht="15" hidden="false" customHeight="false" outlineLevel="0" collapsed="false">
      <c r="A55" s="15"/>
      <c r="B55" s="15"/>
      <c r="C55" s="15"/>
      <c r="D55" s="17"/>
      <c r="E55" s="15"/>
      <c r="F55" s="17"/>
      <c r="G55" s="15"/>
      <c r="H55" s="15"/>
    </row>
    <row r="56" customFormat="false" ht="23.25" hidden="false" customHeight="true" outlineLevel="0" collapsed="false">
      <c r="A56" s="15"/>
      <c r="B56" s="15"/>
      <c r="C56" s="15"/>
      <c r="D56" s="17"/>
      <c r="E56" s="15"/>
      <c r="F56" s="17"/>
      <c r="G56" s="15"/>
      <c r="H56" s="15"/>
    </row>
    <row r="57" customFormat="false" ht="15" hidden="false" customHeight="true" outlineLevel="0" collapsed="false">
      <c r="A57" s="15"/>
      <c r="B57" s="15"/>
      <c r="C57" s="15"/>
      <c r="D57" s="17"/>
      <c r="E57" s="15"/>
      <c r="F57" s="17"/>
      <c r="G57" s="15"/>
      <c r="H57" s="15"/>
    </row>
    <row r="58" customFormat="false" ht="15" hidden="false" customHeight="true" outlineLevel="0" collapsed="false">
      <c r="A58" s="28" t="s">
        <v>445</v>
      </c>
      <c r="B58" s="29"/>
      <c r="C58" s="29"/>
      <c r="D58" s="30"/>
      <c r="E58" s="29"/>
      <c r="F58" s="30"/>
      <c r="G58" s="29"/>
      <c r="H58" s="29"/>
    </row>
    <row r="59" customFormat="false" ht="15" hidden="false" customHeight="true" outlineLevel="0" collapsed="false">
      <c r="A59" s="29"/>
      <c r="B59" s="29"/>
      <c r="C59" s="29"/>
      <c r="D59" s="30"/>
      <c r="E59" s="29"/>
      <c r="F59" s="30"/>
      <c r="G59" s="29"/>
      <c r="H59" s="29"/>
    </row>
    <row r="60" customFormat="false" ht="15" hidden="false" customHeight="true" outlineLevel="0" collapsed="false">
      <c r="A60" s="28" t="s">
        <v>446</v>
      </c>
      <c r="B60" s="29"/>
      <c r="C60" s="29"/>
      <c r="D60" s="30"/>
      <c r="E60" s="29"/>
      <c r="F60" s="30"/>
      <c r="G60" s="29"/>
      <c r="H60" s="29"/>
    </row>
    <row r="61" customFormat="false" ht="15" hidden="false" customHeight="true" outlineLevel="0" collapsed="false">
      <c r="A61" s="3"/>
    </row>
    <row r="63" customFormat="false" ht="15" hidden="false" customHeight="true" outlineLevel="0" collapsed="false">
      <c r="A6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2026-09-11T18:55:00Z</dcterms:created>
  <dc:creator>openpyxl</dc:creator>
  <dc:description/>
  <dc:language>en-US</dc:language>
  <cp:lastModifiedBy/>
  <dcterms:modified xsi:type="dcterms:W3CDTF">2026-09-11T19:13:28Z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